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1_{CE0063DB-A633-F141-A541-5E051BA06EC1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<sst xmlns="http://schemas.openxmlformats.org/spreadsheetml/2006/main" count="72" uniqueCount="49">
  <si>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</si>
  <si>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</si>
  <si>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</si>
  <si>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</si>
  <si>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</si>
  <si>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</si>
  <si>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</si>
  <si>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</si>
  <si>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</si>
  <si>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</si>
  <si>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</si>
  <si>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</si>
  <si>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</si>
  <si>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</si>
  <si>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</si>
  <si>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</si>
  <si>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</si>
  <si>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</si>
  <si>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</si>
  <si>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</si>
  <si>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</si>
  <si>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</si>
  <si>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</si>
  <si>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</si>
  <si>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</si>
  <si>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</si>
  <si>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</si>
  <si>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</si>
  <si>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</si>
  <si>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</si>
  <si>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</si>
  <si>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</si>
  <si>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</si>
  <si>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</si>
  <si>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</si>
  <si>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</si>
  <si>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</si>
  <si>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</si>
  <si>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Data Rate</t>
  </si>
  <si>
    <t>W</t>
  </si>
  <si>
    <t>g</t>
  </si>
  <si>
    <t>dBm</t>
  </si>
  <si>
    <t>RF</t>
  </si>
  <si>
    <t>TT&amp;C Transceiver</t>
  </si>
  <si>
    <t>Power</t>
  </si>
  <si>
    <t>kbps</t>
  </si>
  <si>
    <t>NanoCom AX100</t>
  </si>
  <si>
    <t>AAC TRX-U</t>
  </si>
  <si>
    <t>Enduro Sat UHF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</si>
</sst>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L22" sqref="L22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43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40" t="s">
        <v>46</v>
      </c>
      <c r="G9" s="41"/>
      <c r="H9" s="42"/>
      <c r="I9" s="32" t="s">
        <v>47</v>
      </c>
      <c r="J9" s="33"/>
      <c r="K9" s="34"/>
      <c r="L9" s="35" t="s">
        <v>48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38</v>
      </c>
      <c r="C11" s="30" t="s">
        <v>45</v>
      </c>
      <c r="D11" s="22">
        <v>30</v>
      </c>
      <c r="E11" s="10" t="s">
        <v>15</v>
      </c>
      <c r="F11" s="5">
        <v>38.4</v>
      </c>
      <c r="G11" s="24">
        <f>IF($E11="Y", F11/SUM($F11,$I11,$L11), (1/F11)/SUM(1/$F11,1/$I11,1/$L11))</f>
        <v>0.5</v>
      </c>
      <c r="H11" s="10">
        <f>G11*D11</f>
        <v>15</v>
      </c>
      <c r="I11" s="5">
        <v>19.2</v>
      </c>
      <c r="J11" s="24">
        <f>IF($E11="Y", I11/SUM($F11,$I11,$L11), (1/I11)/SUM(1/$F11,1/$I11,1/$L11))</f>
        <v>0.25</v>
      </c>
      <c r="K11" s="10">
        <f>J11*D11</f>
        <v>7.5</v>
      </c>
      <c r="L11" s="5">
        <v>19.2</v>
      </c>
      <c r="M11" s="24">
        <f>IF($E11="Y", L11/SUM($F11,$I11,$L11), (1/L11)/SUM(1/$F11,1/$I11,1/$L11))</f>
        <v>0.25</v>
      </c>
      <c r="N11" s="10">
        <f>M11*D11</f>
        <v>7.5</v>
      </c>
    </row>
    <row r="12" spans="1:14" x14ac:dyDescent="0.2">
      <c r="B12" s="31" t="s">
        <v>42</v>
      </c>
      <c r="C12" s="23" t="s">
        <v>41</v>
      </c>
      <c r="D12" s="24">
        <v>30</v>
      </c>
      <c r="E12" s="10" t="s">
        <v>15</v>
      </c>
      <c r="F12" s="5">
        <v>30</v>
      </c>
      <c r="G12" s="24">
        <f t="shared" ref="G12:G14" si="0">IF($E12="Y", F12/SUM($F12,$I12,$L12), (1/F12)/SUM(1/$F12,1/$I12,1/$L12))</f>
        <v>0.3</v>
      </c>
      <c r="H12" s="10">
        <f t="shared" ref="H12:H14" si="1">G12*D12</f>
        <v>9</v>
      </c>
      <c r="I12" s="5">
        <v>37</v>
      </c>
      <c r="J12" s="24">
        <f t="shared" ref="J12:J14" si="2">IF($E12="Y", I12/SUM($F12,$I12,$L12), (1/I12)/SUM(1/$F12,1/$I12,1/$L12))</f>
        <v>0.37</v>
      </c>
      <c r="K12" s="10">
        <f t="shared" ref="K12:K14" si="3">J12*D12</f>
        <v>11.1</v>
      </c>
      <c r="L12" s="5">
        <v>33</v>
      </c>
      <c r="M12" s="24">
        <f t="shared" ref="M12:M14" si="4">IF($E12="Y", L12/SUM($F12,$I12,$L12), (1/L12)/SUM(1/$F12,1/$I12,1/$L12))</f>
        <v>0.33</v>
      </c>
      <c r="N12" s="10">
        <f t="shared" ref="N12:N14" si="5">M12*D12</f>
        <v>9.9</v>
      </c>
    </row>
    <row r="13" spans="1:14" x14ac:dyDescent="0.2">
      <c r="B13" s="31" t="s">
        <v>44</v>
      </c>
      <c r="C13" s="57" t="s">
        <v>39</v>
      </c>
      <c r="D13" s="24">
        <v>25</v>
      </c>
      <c r="E13" s="10" t="s">
        <v>16</v>
      </c>
      <c r="F13" s="5">
        <v>3</v>
      </c>
      <c r="G13" s="24">
        <f t="shared" si="0"/>
        <v>0.38461538461538458</v>
      </c>
      <c r="H13" s="10">
        <f t="shared" si="1"/>
        <v>9.615384615384615</v>
      </c>
      <c r="I13" s="5">
        <v>5</v>
      </c>
      <c r="J13" s="24">
        <f t="shared" si="2"/>
        <v>0.23076923076923078</v>
      </c>
      <c r="K13" s="10">
        <f t="shared" si="3"/>
        <v>5.7692307692307692</v>
      </c>
      <c r="L13" s="5">
        <v>3</v>
      </c>
      <c r="M13" s="24">
        <f t="shared" si="4"/>
        <v>0.38461538461538458</v>
      </c>
      <c r="N13" s="10">
        <f t="shared" si="5"/>
        <v>9.615384615384615</v>
      </c>
    </row>
    <row r="14" spans="1:14" ht="16" thickBot="1" x14ac:dyDescent="0.25">
      <c r="B14" s="31" t="s">
        <v>30</v>
      </c>
      <c r="C14" s="23" t="s">
        <v>40</v>
      </c>
      <c r="D14" s="24">
        <v>15</v>
      </c>
      <c r="E14" s="10" t="s">
        <v>16</v>
      </c>
      <c r="F14" s="5">
        <v>105</v>
      </c>
      <c r="G14" s="24">
        <f t="shared" si="0"/>
        <v>0.33554083885209718</v>
      </c>
      <c r="H14" s="10">
        <f t="shared" si="1"/>
        <v>5.0331125827814578</v>
      </c>
      <c r="I14" s="5">
        <v>120</v>
      </c>
      <c r="J14" s="24">
        <f t="shared" si="2"/>
        <v>0.29359823399558499</v>
      </c>
      <c r="K14" s="10">
        <f t="shared" si="3"/>
        <v>4.4039735099337749</v>
      </c>
      <c r="L14" s="5">
        <v>95</v>
      </c>
      <c r="M14" s="24">
        <f t="shared" si="4"/>
        <v>0.37086092715231789</v>
      </c>
      <c r="N14" s="10">
        <f t="shared" si="5"/>
        <v>5.5629139072847682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38.648497198166069</v>
      </c>
      <c r="I15" s="13"/>
      <c r="J15" s="14"/>
      <c r="K15" s="27">
        <f>SUM(K11:K14)</f>
        <v>28.773204279164545</v>
      </c>
      <c r="L15" s="13"/>
      <c r="M15" s="14"/>
      <c r="N15" s="27">
        <f>SUM(N11:N14)</f>
        <v>32.578298522669378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