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Aero Design 1\Trade Studies\"/>
    </mc:Choice>
  </mc:AlternateContent>
  <xr:revisionPtr revIDLastSave="0" documentId="13_ncr:1_{6E5AA67F-2A1D-4D16-9158-53F7F5847ED3}" xr6:coauthVersionLast="47" xr6:coauthVersionMax="47" xr10:uidLastSave="{00000000-0000-0000-0000-000000000000}"/>
  <bookViews>
    <workbookView xWindow="-120" yWindow="-120" windowWidth="38640" windowHeight="2112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T14" i="1" s="1"/>
  <c r="S13" i="1"/>
  <c r="T13" i="1" s="1"/>
  <c r="S12" i="1"/>
  <c r="T12" i="1" s="1"/>
  <c r="S11" i="1"/>
  <c r="T11" i="1" s="1"/>
  <c r="P14" i="1"/>
  <c r="Q14" i="1" s="1"/>
  <c r="P13" i="1"/>
  <c r="Q13" i="1" s="1"/>
  <c r="P12" i="1"/>
  <c r="Q12" i="1" s="1"/>
  <c r="P11" i="1"/>
  <c r="Q11" i="1" s="1"/>
  <c r="M14" i="1"/>
  <c r="N14" i="1" s="1"/>
  <c r="M13" i="1"/>
  <c r="N13" i="1" s="1"/>
  <c r="M12" i="1"/>
  <c r="N12" i="1" s="1"/>
  <c r="M11" i="1"/>
  <c r="N11" i="1" s="1"/>
  <c r="J14" i="1"/>
  <c r="K14" i="1" s="1"/>
  <c r="J13" i="1"/>
  <c r="K13" i="1" s="1"/>
  <c r="J12" i="1"/>
  <c r="K12" i="1" s="1"/>
  <c r="J11" i="1"/>
  <c r="K11" i="1" s="1"/>
  <c r="G14" i="1"/>
  <c r="G13" i="1"/>
  <c r="G12" i="1"/>
  <c r="G11" i="1"/>
  <c r="J19" i="2"/>
  <c r="K19" i="2" s="1"/>
  <c r="G19" i="2"/>
  <c r="G18" i="2"/>
  <c r="J18" i="2"/>
  <c r="K18" i="2" s="1"/>
  <c r="H18" i="2"/>
  <c r="H19" i="2"/>
  <c r="H20" i="2" l="1"/>
  <c r="K20" i="2"/>
  <c r="Q15" i="1"/>
  <c r="N15" i="1"/>
  <c r="T15" i="1"/>
  <c r="H13" i="1"/>
  <c r="H11" i="1"/>
  <c r="H12" i="1"/>
  <c r="H14" i="1"/>
  <c r="K15" i="1"/>
  <c r="H15" i="1" l="1"/>
</calcChain>
</file>

<file path=xl/sharedStrings.xml><?xml version="1.0" encoding="utf-8"?>
<sst xmlns="http://schemas.openxmlformats.org/spreadsheetml/2006/main" count="76" uniqueCount="48">
  <si>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</si>
  <si>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</si>
  <si>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</si>
  <si>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</si>
  <si>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</si>
  <si>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</si>
  <si>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</si>
  <si>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</si>
  <si>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</si>
  <si>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</si>
  <si>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</si>
  <si>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</si>
  <si>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</si>
  <si>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</si>
  <si>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</si>
  <si>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</si>
  <si>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</si>
  <si>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</si>
  <si>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</si>
  <si>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</si>
  <si>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</si>
  <si>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</si>
  <si>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</si>
  <si>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</si>
  <si>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</si>
  <si>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</si>
  <si>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</si>
  <si>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</si>
  <si>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</si>
  <si>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</si>
  <si>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</si>
  <si>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</si>
  <si>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</si>
  <si>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</si>
  <si>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</si>
  <si>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</si>
  <si>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</si>
  <si>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</si>
  <si>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</si>
  <si>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Power efficiency</t>
  </si>
  <si>
    <t>Link Robustness</t>
  </si>
  <si>
    <t>Antenna Size</t>
  </si>
  <si>
    <t>Integration Effort</t>
  </si>
  <si>
    <t>Sub-GHz GFSK (868/915 MHz)</t>
  </si>
  <si>
    <t>2.4 GHz 802.15.4 / BLE</t>
  </si>
  <si>
    <t>S-band low-power custom</t>
  </si>
  <si>
    <t>UWB (Decawave)</t>
  </si>
  <si>
    <t>Optical IR LED/PD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</si>
</sst>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5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T15"/>
  <sheetViews>
    <sheetView tabSelected="1" topLeftCell="B1" workbookViewId="0">
      <selection activeCell="H11" sqref="H11"/>
    </sheetView>
  </sheetViews>
  <sheetFormatPr defaultColWidth="8.85546875" defaultRowHeight="15" x14ac:dyDescent="0.25"/>
  <cols>
    <col min="1" max="1" width="9.140625" customWidth="1"/>
    <col min="2" max="2" width="24.85546875" customWidth="1"/>
    <col min="3" max="3" width="24.7109375" customWidth="1"/>
    <col min="4" max="5" width="14.42578125" customWidth="1"/>
    <col min="6" max="6" width="8.85546875" customWidth="1"/>
    <col min="7" max="8" width="10.140625" customWidth="1"/>
  </cols>
  <sheetData>
    <row r="1" spans="1:20" x14ac:dyDescent="0.25">
      <c r="A1" s="1" t="s">
        <v>0</v>
      </c>
      <c r="B1" s="31" t="s">
        <v>36</v>
      </c>
      <c r="C1" s="32"/>
    </row>
    <row r="2" spans="1:20" x14ac:dyDescent="0.25">
      <c r="A2" s="2" t="s">
        <v>1</v>
      </c>
      <c r="B2" s="33" t="s">
        <v>37</v>
      </c>
      <c r="C2" s="34"/>
    </row>
    <row r="3" spans="1:20" x14ac:dyDescent="0.25">
      <c r="A3" s="2" t="s">
        <v>2</v>
      </c>
      <c r="B3" s="33" t="s">
        <v>38</v>
      </c>
      <c r="C3" s="34"/>
    </row>
    <row r="4" spans="1:20" x14ac:dyDescent="0.25">
      <c r="A4" s="3" t="s">
        <v>3</v>
      </c>
      <c r="B4" s="35">
        <v>45916</v>
      </c>
      <c r="C4" s="36"/>
    </row>
    <row r="5" spans="1:20" ht="15.75" thickBot="1" x14ac:dyDescent="0.3">
      <c r="A5" s="37" t="s">
        <v>5</v>
      </c>
      <c r="B5" s="38"/>
      <c r="C5" s="4" t="s">
        <v>35</v>
      </c>
    </row>
    <row r="8" spans="1:20" ht="15.75" thickBot="1" x14ac:dyDescent="0.3">
      <c r="B8" s="11"/>
      <c r="C8" s="11"/>
      <c r="D8" s="11"/>
      <c r="E8" s="11"/>
    </row>
    <row r="9" spans="1:20" ht="15.75" thickBot="1" x14ac:dyDescent="0.3">
      <c r="A9" s="7"/>
      <c r="B9" s="38" t="s">
        <v>17</v>
      </c>
      <c r="C9" s="38"/>
      <c r="D9" s="38"/>
      <c r="E9" s="48"/>
      <c r="F9" s="42" t="s">
        <v>43</v>
      </c>
      <c r="G9" s="43"/>
      <c r="H9" s="44"/>
      <c r="I9" s="39" t="s">
        <v>44</v>
      </c>
      <c r="J9" s="40"/>
      <c r="K9" s="41"/>
      <c r="L9" s="42" t="s">
        <v>45</v>
      </c>
      <c r="M9" s="43"/>
      <c r="N9" s="44"/>
      <c r="O9" s="45" t="s">
        <v>46</v>
      </c>
      <c r="P9" s="46"/>
      <c r="Q9" s="47"/>
      <c r="R9" s="42" t="s">
        <v>47</v>
      </c>
      <c r="S9" s="43"/>
      <c r="T9" s="44"/>
    </row>
    <row r="10" spans="1:20" x14ac:dyDescent="0.25">
      <c r="B10" s="8" t="s">
        <v>4</v>
      </c>
      <c r="C10" s="16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  <c r="O10" s="17" t="s">
        <v>8</v>
      </c>
      <c r="P10" s="18" t="s">
        <v>10</v>
      </c>
      <c r="Q10" s="12" t="s">
        <v>9</v>
      </c>
      <c r="R10" s="17" t="s">
        <v>8</v>
      </c>
      <c r="S10" s="18" t="s">
        <v>10</v>
      </c>
      <c r="T10" s="12" t="s">
        <v>9</v>
      </c>
    </row>
    <row r="11" spans="1:20" x14ac:dyDescent="0.25">
      <c r="B11" s="9" t="s">
        <v>39</v>
      </c>
      <c r="C11" s="22"/>
      <c r="D11" s="23">
        <v>25</v>
      </c>
      <c r="E11" s="10" t="s">
        <v>15</v>
      </c>
      <c r="F11" s="5">
        <v>5</v>
      </c>
      <c r="G11" s="24">
        <f t="shared" ref="G11:G12" si="0">IF($E11="Y", F11/SUM($F11,$I11,$L11,$O11,$R11), (1/F11)/SUM(1/$F11,1/$I11,1/$L11,1/$O11,1/$R11))</f>
        <v>0.25</v>
      </c>
      <c r="H11" s="10">
        <f>G11*$D11</f>
        <v>6.25</v>
      </c>
      <c r="I11" s="5">
        <v>4</v>
      </c>
      <c r="J11" s="24">
        <f t="shared" ref="J11:J12" si="1">IF($E11="Y", I11/SUM($F11,$I11,$L11,$O11,$R11), (1/I11)/SUM(1/$F11,1/$I11,1/$L11,1/$O11,1/$R11))</f>
        <v>0.2</v>
      </c>
      <c r="K11" s="10">
        <f>J11*$D11</f>
        <v>5</v>
      </c>
      <c r="L11" s="5">
        <v>3</v>
      </c>
      <c r="M11" s="24">
        <f t="shared" ref="M11:M12" si="2">IF($E11="Y", L11/SUM($F11,$I11,$L11,$O11,$R11), (1/L11)/SUM(1/$F11,1/$I11,1/$L11,1/$O11,1/$R11))</f>
        <v>0.15</v>
      </c>
      <c r="N11" s="10">
        <f>M11*$D11</f>
        <v>3.75</v>
      </c>
      <c r="O11" s="5">
        <v>3</v>
      </c>
      <c r="P11" s="24">
        <f t="shared" ref="P11:P12" si="3">IF($E11="Y", O11/SUM($F11,$I11,$L11,$O11,$R11), (1/O11)/SUM(1/$F11,1/$I11,1/$L11,1/$O11,1/$R11))</f>
        <v>0.15</v>
      </c>
      <c r="Q11" s="10">
        <f>P11*$D11</f>
        <v>3.75</v>
      </c>
      <c r="R11" s="5">
        <v>5</v>
      </c>
      <c r="S11" s="24">
        <f t="shared" ref="S11:S12" si="4">IF($E11="Y", R11/SUM($F11,$I11,$L11,$O11,$R11), (1/R11)/SUM(1/$F11,1/$I11,1/$L11,1/$O11,1/$R11))</f>
        <v>0.25</v>
      </c>
      <c r="T11" s="10">
        <f>S11*$D11</f>
        <v>6.25</v>
      </c>
    </row>
    <row r="12" spans="1:20" x14ac:dyDescent="0.25">
      <c r="B12" s="5" t="s">
        <v>40</v>
      </c>
      <c r="C12" s="24"/>
      <c r="D12" s="23">
        <v>25</v>
      </c>
      <c r="E12" s="10" t="s">
        <v>15</v>
      </c>
      <c r="F12" s="5">
        <v>5</v>
      </c>
      <c r="G12" s="24">
        <f t="shared" si="0"/>
        <v>0.33333333333333331</v>
      </c>
      <c r="H12" s="10">
        <f>G12*$D12</f>
        <v>8.3333333333333321</v>
      </c>
      <c r="I12" s="5">
        <v>3</v>
      </c>
      <c r="J12" s="24">
        <f t="shared" si="1"/>
        <v>0.2</v>
      </c>
      <c r="K12" s="10">
        <f>J12*$D12</f>
        <v>5</v>
      </c>
      <c r="L12" s="5">
        <v>3</v>
      </c>
      <c r="M12" s="24">
        <f t="shared" si="2"/>
        <v>0.2</v>
      </c>
      <c r="N12" s="10">
        <f>M12*$D12</f>
        <v>5</v>
      </c>
      <c r="O12" s="5">
        <v>3</v>
      </c>
      <c r="P12" s="24">
        <f t="shared" si="3"/>
        <v>0.2</v>
      </c>
      <c r="Q12" s="10">
        <f>P12*$D12</f>
        <v>5</v>
      </c>
      <c r="R12" s="5">
        <v>1</v>
      </c>
      <c r="S12" s="24">
        <f t="shared" si="4"/>
        <v>6.6666666666666666E-2</v>
      </c>
      <c r="T12" s="10">
        <f>S12*$D12</f>
        <v>1.6666666666666667</v>
      </c>
    </row>
    <row r="13" spans="1:20" x14ac:dyDescent="0.25">
      <c r="B13" s="5" t="s">
        <v>41</v>
      </c>
      <c r="C13" s="24"/>
      <c r="D13" s="23">
        <v>10</v>
      </c>
      <c r="E13" s="10" t="s">
        <v>15</v>
      </c>
      <c r="F13" s="5">
        <v>4</v>
      </c>
      <c r="G13" s="24">
        <f t="shared" ref="G13:G14" si="5">IF($E13="Y", F13/SUM($F13,$I13,$L13,$O13,$R13), (1/F13)/SUM(1/$F13,1/$I13,1/$L13,1/$O13,1/$R13))</f>
        <v>0.2</v>
      </c>
      <c r="H13" s="10">
        <f>G13*$D13</f>
        <v>2</v>
      </c>
      <c r="I13" s="5">
        <v>5</v>
      </c>
      <c r="J13" s="24">
        <f t="shared" ref="J13:J14" si="6">IF($E13="Y", I13/SUM($F13,$I13,$L13,$O13,$R13), (1/I13)/SUM(1/$F13,1/$I13,1/$L13,1/$O13,1/$R13))</f>
        <v>0.25</v>
      </c>
      <c r="K13" s="10">
        <f>J13*$D13</f>
        <v>2.5</v>
      </c>
      <c r="L13" s="5">
        <v>3</v>
      </c>
      <c r="M13" s="24">
        <f t="shared" ref="M13:M14" si="7">IF($E13="Y", L13/SUM($F13,$I13,$L13,$O13,$R13), (1/L13)/SUM(1/$F13,1/$I13,1/$L13,1/$O13,1/$R13))</f>
        <v>0.15</v>
      </c>
      <c r="N13" s="10">
        <f>M13*$D13</f>
        <v>1.5</v>
      </c>
      <c r="O13" s="5">
        <v>4</v>
      </c>
      <c r="P13" s="24">
        <f t="shared" ref="P13:P14" si="8">IF($E13="Y", O13/SUM($F13,$I13,$L13,$O13,$R13), (1/O13)/SUM(1/$F13,1/$I13,1/$L13,1/$O13,1/$R13))</f>
        <v>0.2</v>
      </c>
      <c r="Q13" s="10">
        <f>P13*$D13</f>
        <v>2</v>
      </c>
      <c r="R13" s="5">
        <v>4</v>
      </c>
      <c r="S13" s="24">
        <f t="shared" ref="S13:S14" si="9">IF($E13="Y", R13/SUM($F13,$I13,$L13,$O13,$R13), (1/R13)/SUM(1/$F13,1/$I13,1/$L13,1/$O13,1/$R13))</f>
        <v>0.2</v>
      </c>
      <c r="T13" s="10">
        <f>S13*$D13</f>
        <v>2</v>
      </c>
    </row>
    <row r="14" spans="1:20" ht="15.75" thickBot="1" x14ac:dyDescent="0.3">
      <c r="B14" s="5" t="s">
        <v>42</v>
      </c>
      <c r="C14" s="24"/>
      <c r="D14" s="23">
        <v>10</v>
      </c>
      <c r="E14" s="10" t="s">
        <v>15</v>
      </c>
      <c r="F14" s="5">
        <v>4</v>
      </c>
      <c r="G14" s="24">
        <f t="shared" si="5"/>
        <v>0.26666666666666666</v>
      </c>
      <c r="H14" s="10">
        <f>G14*$D14</f>
        <v>2.6666666666666665</v>
      </c>
      <c r="I14" s="5">
        <v>4</v>
      </c>
      <c r="J14" s="24">
        <f t="shared" si="6"/>
        <v>0.26666666666666666</v>
      </c>
      <c r="K14" s="10">
        <f>J14*$D14</f>
        <v>2.6666666666666665</v>
      </c>
      <c r="L14" s="5">
        <v>2</v>
      </c>
      <c r="M14" s="24">
        <f t="shared" si="7"/>
        <v>0.13333333333333333</v>
      </c>
      <c r="N14" s="10">
        <f>M14*$D14</f>
        <v>1.3333333333333333</v>
      </c>
      <c r="O14" s="5">
        <v>2</v>
      </c>
      <c r="P14" s="24">
        <f t="shared" si="8"/>
        <v>0.13333333333333333</v>
      </c>
      <c r="Q14" s="10">
        <f>P14*$D14</f>
        <v>1.3333333333333333</v>
      </c>
      <c r="R14" s="5">
        <v>3</v>
      </c>
      <c r="S14" s="24">
        <f t="shared" si="9"/>
        <v>0.2</v>
      </c>
      <c r="T14" s="10">
        <f>S14*$D14</f>
        <v>2</v>
      </c>
    </row>
    <row r="15" spans="1:20" ht="16.5" thickTop="1" thickBot="1" x14ac:dyDescent="0.3">
      <c r="B15" s="28" t="s">
        <v>12</v>
      </c>
      <c r="C15" s="29"/>
      <c r="D15" s="29"/>
      <c r="E15" s="30"/>
      <c r="F15" s="13"/>
      <c r="G15" s="14"/>
      <c r="H15" s="27">
        <f>SUM(H11:H14)</f>
        <v>19.25</v>
      </c>
      <c r="I15" s="13"/>
      <c r="J15" s="14"/>
      <c r="K15" s="27">
        <f>SUM(K11:K14)</f>
        <v>15.166666666666666</v>
      </c>
      <c r="L15" s="13"/>
      <c r="M15" s="14"/>
      <c r="N15" s="27">
        <f>SUM(N11:N14)</f>
        <v>11.583333333333334</v>
      </c>
      <c r="O15" s="13"/>
      <c r="P15" s="14"/>
      <c r="Q15" s="27">
        <f>SUM(Q11:Q14)</f>
        <v>12.083333333333334</v>
      </c>
      <c r="R15" s="13"/>
      <c r="S15" s="14"/>
      <c r="T15" s="27">
        <f>SUM(T11:T14)</f>
        <v>11.916666666666668</v>
      </c>
    </row>
  </sheetData>
  <mergeCells count="12">
    <mergeCell ref="I9:K9"/>
    <mergeCell ref="L9:N9"/>
    <mergeCell ref="O9:Q9"/>
    <mergeCell ref="R9:T9"/>
    <mergeCell ref="B9:E9"/>
    <mergeCell ref="F9:H9"/>
    <mergeCell ref="B15:E15"/>
    <mergeCell ref="B1:C1"/>
    <mergeCell ref="B2:C2"/>
    <mergeCell ref="B3:C3"/>
    <mergeCell ref="B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defaultColWidth="8.85546875" defaultRowHeight="15" x14ac:dyDescent="0.25"/>
  <sheetData>
    <row r="1" spans="1:11" x14ac:dyDescent="0.25">
      <c r="A1" s="20" t="s">
        <v>18</v>
      </c>
    </row>
    <row r="2" spans="1:11" x14ac:dyDescent="0.25">
      <c r="A2" t="s">
        <v>19</v>
      </c>
    </row>
    <row r="4" spans="1:11" x14ac:dyDescent="0.25">
      <c r="A4" t="s">
        <v>20</v>
      </c>
    </row>
    <row r="5" spans="1:11" x14ac:dyDescent="0.25">
      <c r="B5" t="s">
        <v>21</v>
      </c>
    </row>
    <row r="6" spans="1:11" x14ac:dyDescent="0.25">
      <c r="B6" t="s">
        <v>24</v>
      </c>
    </row>
    <row r="7" spans="1:11" x14ac:dyDescent="0.25">
      <c r="A7" t="s">
        <v>22</v>
      </c>
    </row>
    <row r="8" spans="1:11" x14ac:dyDescent="0.25">
      <c r="B8" t="s">
        <v>23</v>
      </c>
    </row>
    <row r="9" spans="1:11" x14ac:dyDescent="0.25">
      <c r="A9" t="s">
        <v>25</v>
      </c>
    </row>
    <row r="11" spans="1:11" x14ac:dyDescent="0.25">
      <c r="A11" s="21" t="s">
        <v>26</v>
      </c>
    </row>
    <row r="12" spans="1:11" x14ac:dyDescent="0.25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5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5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5.75" thickBot="1" x14ac:dyDescent="0.3"/>
    <row r="16" spans="1:11" ht="15.75" thickBot="1" x14ac:dyDescent="0.3">
      <c r="B16" s="49" t="s">
        <v>17</v>
      </c>
      <c r="C16" s="50"/>
      <c r="D16" s="50"/>
      <c r="E16" s="51"/>
      <c r="F16" s="52" t="s">
        <v>11</v>
      </c>
      <c r="G16" s="53"/>
      <c r="H16" s="54"/>
      <c r="I16" s="39" t="s">
        <v>13</v>
      </c>
      <c r="J16" s="40"/>
      <c r="K16" s="41"/>
    </row>
    <row r="17" spans="2:11" x14ac:dyDescent="0.25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5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5.75" thickBot="1" x14ac:dyDescent="0.3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6.5" thickTop="1" thickBot="1" x14ac:dyDescent="0.3">
      <c r="B20" s="28" t="s">
        <v>12</v>
      </c>
      <c r="C20" s="29"/>
      <c r="D20" s="29"/>
      <c r="E20" s="30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5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Touchton, Noah A.</cp:lastModifiedBy>
  <dcterms:created xsi:type="dcterms:W3CDTF">2025-09-16T03:22:33Z</dcterms:created>
  <dcterms:modified xsi:type="dcterms:W3CDTF">2025-09-30T18:55:44Z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