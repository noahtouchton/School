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Aero Design 1\Trade Studies\"/>
    </mc:Choice>
  </mc:AlternateContent>
  <xr:revisionPtr revIDLastSave="0" documentId="13_ncr:1_{068BA837-4A00-4324-B99B-7313693BC608}" xr6:coauthVersionLast="47" xr6:coauthVersionMax="47" xr10:uidLastSave="{00000000-0000-0000-0000-000000000000}"/>
  <bookViews>
    <workbookView xWindow="-120" yWindow="-120" windowWidth="38640" windowHeight="2112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1" i="1"/>
  <c r="K11" i="1" s="1"/>
  <c r="G12" i="1"/>
  <c r="G13" i="1"/>
  <c r="G14" i="1"/>
  <c r="G15" i="1"/>
  <c r="G16" i="1"/>
  <c r="G17" i="1"/>
  <c r="G11" i="1"/>
  <c r="J19" i="2"/>
  <c r="K19" i="2" s="1"/>
  <c r="G19" i="2"/>
  <c r="G18" i="2"/>
  <c r="J18" i="2"/>
  <c r="K18" i="2" s="1"/>
  <c r="H18" i="2"/>
  <c r="H19" i="2"/>
  <c r="H20" i="2" l="1"/>
  <c r="K20" i="2"/>
  <c r="H13" i="1"/>
  <c r="H11" i="1"/>
  <c r="H12" i="1"/>
  <c r="H14" i="1"/>
  <c r="K18" i="1"/>
  <c r="H17" i="1"/>
  <c r="H15" i="1"/>
  <c r="H16" i="1"/>
  <c r="H18" i="1" l="1"/>
</calcChain>
</file>

<file path=xl/sharedStrings.xml><?xml version="1.0" encoding="utf-8"?>
<sst xmlns="http://schemas.openxmlformats.org/spreadsheetml/2006/main" count="70" uniqueCount="48">
  <si>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</si>
  <si>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</si>
  <si>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</si>
  <si>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</si>
  <si>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</si>
  <si>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</si>
  <si>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</si>
  <si>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</si>
  <si>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</si>
  <si>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</si>
  <si>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</si>
  <si>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</si>
  <si>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</si>
  <si>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</si>
  <si>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</si>
  <si>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</si>
  <si>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</si>
  <si>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</si>
  <si>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</si>
  <si>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</si>
  <si>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</si>
  <si>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</si>
  <si>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</si>
  <si>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</si>
  <si>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</si>
  <si>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</si>
  <si>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</si>
  <si>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</si>
  <si>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</si>
  <si>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</si>
  <si>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</si>
  <si>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</si>
  <si>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</si>
  <si>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</si>
  <si>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</si>
  <si>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</si>
  <si>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</si>
  <si>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</si>
  <si>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</si>
  <si>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Band &amp; Antenna</t>
  </si>
  <si>
    <t>Data Rate</t>
  </si>
  <si>
    <t>Power</t>
  </si>
  <si>
    <t>Mech/Integration</t>
  </si>
  <si>
    <t>Ground Compat.</t>
  </si>
  <si>
    <t>Avail/Cost</t>
  </si>
  <si>
    <t>Heritage</t>
  </si>
  <si>
    <t>HSTX-C (2.2–2.3 GHz, ≤ 8 Mbps)</t>
  </si>
  <si>
    <t>HSTX (2.4–2.45 GHz, ≤ 10 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</si>
</sst>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2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K18"/>
  <sheetViews>
    <sheetView tabSelected="1" workbookViewId="0">
      <selection activeCell="I18" sqref="I18"/>
    </sheetView>
  </sheetViews>
  <sheetFormatPr defaultColWidth="8.85546875" defaultRowHeight="15" x14ac:dyDescent="0.25"/>
  <cols>
    <col min="1" max="1" width="9.140625" customWidth="1"/>
    <col min="2" max="2" width="24.85546875" customWidth="1"/>
    <col min="3" max="3" width="24.7109375" customWidth="1"/>
    <col min="4" max="5" width="14.42578125" customWidth="1"/>
    <col min="6" max="6" width="8.85546875" customWidth="1"/>
    <col min="7" max="7" width="10.140625" customWidth="1"/>
    <col min="8" max="8" width="15.5703125" customWidth="1"/>
    <col min="11" max="11" width="16.28515625" customWidth="1"/>
  </cols>
  <sheetData>
    <row r="1" spans="1:11" x14ac:dyDescent="0.25">
      <c r="A1" s="1" t="s">
        <v>0</v>
      </c>
      <c r="B1" s="39" t="s">
        <v>36</v>
      </c>
      <c r="C1" s="40"/>
    </row>
    <row r="2" spans="1:11" x14ac:dyDescent="0.25">
      <c r="A2" s="2" t="s">
        <v>1</v>
      </c>
      <c r="B2" s="41" t="s">
        <v>37</v>
      </c>
      <c r="C2" s="42"/>
    </row>
    <row r="3" spans="1:11" x14ac:dyDescent="0.25">
      <c r="A3" s="2" t="s">
        <v>2</v>
      </c>
      <c r="B3" s="41" t="s">
        <v>38</v>
      </c>
      <c r="C3" s="42"/>
    </row>
    <row r="4" spans="1:11" x14ac:dyDescent="0.25">
      <c r="A4" s="3" t="s">
        <v>3</v>
      </c>
      <c r="B4" s="43">
        <v>45916</v>
      </c>
      <c r="C4" s="44"/>
    </row>
    <row r="5" spans="1:11" ht="15.75" thickBot="1" x14ac:dyDescent="0.3">
      <c r="A5" s="45" t="s">
        <v>5</v>
      </c>
      <c r="B5" s="31"/>
      <c r="C5" s="4" t="s">
        <v>35</v>
      </c>
    </row>
    <row r="8" spans="1:11" ht="15.75" thickBot="1" x14ac:dyDescent="0.3">
      <c r="B8" s="11"/>
      <c r="C8" s="11"/>
      <c r="D8" s="11"/>
      <c r="E8" s="11"/>
    </row>
    <row r="9" spans="1:11" ht="15.75" thickBot="1" x14ac:dyDescent="0.3">
      <c r="A9" s="7"/>
      <c r="B9" s="31" t="s">
        <v>17</v>
      </c>
      <c r="C9" s="31"/>
      <c r="D9" s="31"/>
      <c r="E9" s="32"/>
      <c r="F9" s="33" t="s">
        <v>46</v>
      </c>
      <c r="G9" s="34"/>
      <c r="H9" s="35"/>
      <c r="I9" s="28" t="s">
        <v>47</v>
      </c>
      <c r="J9" s="29"/>
      <c r="K9" s="30"/>
    </row>
    <row r="10" spans="1:11" x14ac:dyDescent="0.25">
      <c r="B10" s="8" t="s">
        <v>4</v>
      </c>
      <c r="C10" s="16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</row>
    <row r="11" spans="1:11" x14ac:dyDescent="0.25">
      <c r="B11" s="9" t="s">
        <v>39</v>
      </c>
      <c r="C11" s="22"/>
      <c r="D11" s="23">
        <v>25</v>
      </c>
      <c r="E11" s="10" t="s">
        <v>15</v>
      </c>
      <c r="F11" s="5">
        <v>5</v>
      </c>
      <c r="G11" s="24">
        <f>IF($E11="Y",F11/SUM($F11,$I11),(1/F11)/SUM(1/$F11,1/$I11))</f>
        <v>0.7142857142857143</v>
      </c>
      <c r="H11" s="10">
        <f>G11*$D11</f>
        <v>17.857142857142858</v>
      </c>
      <c r="I11" s="5">
        <v>2</v>
      </c>
      <c r="J11" s="24">
        <f>IF($E11="Y", I11/SUM($F11,$I11), (1/I11)/SUM(1/$F11,1/$I11))</f>
        <v>0.2857142857142857</v>
      </c>
      <c r="K11" s="10">
        <f>J11*$D11</f>
        <v>7.1428571428571423</v>
      </c>
    </row>
    <row r="12" spans="1:11" x14ac:dyDescent="0.25">
      <c r="B12" s="5" t="s">
        <v>40</v>
      </c>
      <c r="C12" s="24"/>
      <c r="D12" s="23">
        <v>20</v>
      </c>
      <c r="E12" s="10" t="s">
        <v>15</v>
      </c>
      <c r="F12" s="5">
        <v>4</v>
      </c>
      <c r="G12" s="24">
        <f t="shared" ref="G12:G17" si="0">IF($E12="Y",F12/SUM($F12,$I12),(1/F12)/SUM(1/$F12,1/$I12))</f>
        <v>0.44444444444444442</v>
      </c>
      <c r="H12" s="10">
        <f t="shared" ref="H12:H17" si="1">G12*$D12</f>
        <v>8.8888888888888893</v>
      </c>
      <c r="I12" s="5">
        <v>5</v>
      </c>
      <c r="J12" s="24">
        <f t="shared" ref="J12:J17" si="2">IF($E12="Y", I12/SUM($F12,$I12), (1/I12)/SUM(1/$F12,1/$I12))</f>
        <v>0.55555555555555558</v>
      </c>
      <c r="K12" s="10">
        <f t="shared" ref="K12:K17" si="3">J12*$D12</f>
        <v>11.111111111111111</v>
      </c>
    </row>
    <row r="13" spans="1:11" x14ac:dyDescent="0.25">
      <c r="B13" s="5" t="s">
        <v>41</v>
      </c>
      <c r="C13" s="24"/>
      <c r="D13" s="23">
        <v>15</v>
      </c>
      <c r="E13" s="10" t="s">
        <v>15</v>
      </c>
      <c r="F13" s="5">
        <v>5</v>
      </c>
      <c r="G13" s="24">
        <f t="shared" si="0"/>
        <v>0.5</v>
      </c>
      <c r="H13" s="10">
        <f t="shared" si="1"/>
        <v>7.5</v>
      </c>
      <c r="I13" s="5">
        <v>5</v>
      </c>
      <c r="J13" s="24">
        <f t="shared" si="2"/>
        <v>0.5</v>
      </c>
      <c r="K13" s="10">
        <f t="shared" si="3"/>
        <v>7.5</v>
      </c>
    </row>
    <row r="14" spans="1:11" x14ac:dyDescent="0.25">
      <c r="B14" s="5" t="s">
        <v>42</v>
      </c>
      <c r="C14" s="24"/>
      <c r="D14" s="23">
        <v>10</v>
      </c>
      <c r="E14" s="10" t="s">
        <v>15</v>
      </c>
      <c r="F14" s="5">
        <v>5</v>
      </c>
      <c r="G14" s="24">
        <f t="shared" si="0"/>
        <v>0.5</v>
      </c>
      <c r="H14" s="10">
        <f t="shared" si="1"/>
        <v>5</v>
      </c>
      <c r="I14" s="5">
        <v>5</v>
      </c>
      <c r="J14" s="24">
        <f t="shared" si="2"/>
        <v>0.5</v>
      </c>
      <c r="K14" s="10">
        <f t="shared" si="3"/>
        <v>5</v>
      </c>
    </row>
    <row r="15" spans="1:11" x14ac:dyDescent="0.25">
      <c r="B15" s="5" t="s">
        <v>43</v>
      </c>
      <c r="C15" s="24"/>
      <c r="D15" s="23">
        <v>10</v>
      </c>
      <c r="E15" s="10" t="s">
        <v>15</v>
      </c>
      <c r="F15" s="5">
        <v>5</v>
      </c>
      <c r="G15" s="24">
        <f t="shared" si="0"/>
        <v>0.5</v>
      </c>
      <c r="H15" s="10">
        <f t="shared" si="1"/>
        <v>5</v>
      </c>
      <c r="I15" s="5">
        <v>5</v>
      </c>
      <c r="J15" s="24">
        <f t="shared" si="2"/>
        <v>0.5</v>
      </c>
      <c r="K15" s="10">
        <f t="shared" si="3"/>
        <v>5</v>
      </c>
    </row>
    <row r="16" spans="1:11" x14ac:dyDescent="0.25">
      <c r="B16" s="5" t="s">
        <v>44</v>
      </c>
      <c r="C16" s="24"/>
      <c r="D16" s="23">
        <v>10</v>
      </c>
      <c r="E16" s="10" t="s">
        <v>15</v>
      </c>
      <c r="F16" s="5">
        <v>4</v>
      </c>
      <c r="G16" s="24">
        <f t="shared" si="0"/>
        <v>0.5</v>
      </c>
      <c r="H16" s="10">
        <f t="shared" si="1"/>
        <v>5</v>
      </c>
      <c r="I16" s="5">
        <v>4</v>
      </c>
      <c r="J16" s="24">
        <f t="shared" si="2"/>
        <v>0.5</v>
      </c>
      <c r="K16" s="10">
        <f t="shared" si="3"/>
        <v>5</v>
      </c>
    </row>
    <row r="17" spans="2:11" ht="15.75" thickBot="1" x14ac:dyDescent="0.3">
      <c r="B17" s="5" t="s">
        <v>45</v>
      </c>
      <c r="C17" s="24"/>
      <c r="D17" s="23">
        <v>10</v>
      </c>
      <c r="E17" s="10" t="s">
        <v>15</v>
      </c>
      <c r="F17" s="5">
        <v>4</v>
      </c>
      <c r="G17" s="24">
        <f t="shared" si="0"/>
        <v>0.5</v>
      </c>
      <c r="H17" s="10">
        <f t="shared" si="1"/>
        <v>5</v>
      </c>
      <c r="I17" s="5">
        <v>4</v>
      </c>
      <c r="J17" s="24">
        <f t="shared" si="2"/>
        <v>0.5</v>
      </c>
      <c r="K17" s="10">
        <f t="shared" si="3"/>
        <v>5</v>
      </c>
    </row>
    <row r="18" spans="2:11" ht="16.5" thickTop="1" thickBot="1" x14ac:dyDescent="0.3">
      <c r="B18" s="36" t="s">
        <v>12</v>
      </c>
      <c r="C18" s="37"/>
      <c r="D18" s="37"/>
      <c r="E18" s="38"/>
      <c r="F18" s="13"/>
      <c r="G18" s="14"/>
      <c r="H18" s="27">
        <f>SUM(H11:H17)</f>
        <v>54.246031746031747</v>
      </c>
      <c r="I18" s="13"/>
      <c r="J18" s="14"/>
      <c r="K18" s="27">
        <f>SUM(K11:K17)</f>
        <v>45.753968253968253</v>
      </c>
    </row>
  </sheetData>
  <mergeCells count="9">
    <mergeCell ref="I9:K9"/>
    <mergeCell ref="B9:E9"/>
    <mergeCell ref="F9:H9"/>
    <mergeCell ref="B18:E18"/>
    <mergeCell ref="B1:C1"/>
    <mergeCell ref="B2:C2"/>
    <mergeCell ref="B3:C3"/>
    <mergeCell ref="B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defaultColWidth="8.85546875" defaultRowHeight="15" x14ac:dyDescent="0.25"/>
  <sheetData>
    <row r="1" spans="1:11" x14ac:dyDescent="0.25">
      <c r="A1" s="20" t="s">
        <v>18</v>
      </c>
    </row>
    <row r="2" spans="1:11" x14ac:dyDescent="0.25">
      <c r="A2" t="s">
        <v>19</v>
      </c>
    </row>
    <row r="4" spans="1:11" x14ac:dyDescent="0.25">
      <c r="A4" t="s">
        <v>20</v>
      </c>
    </row>
    <row r="5" spans="1:11" x14ac:dyDescent="0.25">
      <c r="B5" t="s">
        <v>21</v>
      </c>
    </row>
    <row r="6" spans="1:11" x14ac:dyDescent="0.25">
      <c r="B6" t="s">
        <v>24</v>
      </c>
    </row>
    <row r="7" spans="1:11" x14ac:dyDescent="0.25">
      <c r="A7" t="s">
        <v>22</v>
      </c>
    </row>
    <row r="8" spans="1:11" x14ac:dyDescent="0.25">
      <c r="B8" t="s">
        <v>23</v>
      </c>
    </row>
    <row r="9" spans="1:11" x14ac:dyDescent="0.25">
      <c r="A9" t="s">
        <v>25</v>
      </c>
    </row>
    <row r="11" spans="1:11" x14ac:dyDescent="0.25">
      <c r="A11" s="21" t="s">
        <v>26</v>
      </c>
    </row>
    <row r="12" spans="1:11" x14ac:dyDescent="0.25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5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5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5.75" thickBot="1" x14ac:dyDescent="0.3"/>
    <row r="16" spans="1:11" ht="15.75" thickBot="1" x14ac:dyDescent="0.3">
      <c r="B16" s="46" t="s">
        <v>17</v>
      </c>
      <c r="C16" s="47"/>
      <c r="D16" s="47"/>
      <c r="E16" s="48"/>
      <c r="F16" s="49" t="s">
        <v>11</v>
      </c>
      <c r="G16" s="50"/>
      <c r="H16" s="51"/>
      <c r="I16" s="28" t="s">
        <v>13</v>
      </c>
      <c r="J16" s="29"/>
      <c r="K16" s="30"/>
    </row>
    <row r="17" spans="2:11" x14ac:dyDescent="0.25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5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5.75" thickBot="1" x14ac:dyDescent="0.3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6.5" thickTop="1" thickBot="1" x14ac:dyDescent="0.3">
      <c r="B20" s="36" t="s">
        <v>12</v>
      </c>
      <c r="C20" s="37"/>
      <c r="D20" s="37"/>
      <c r="E20" s="38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5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Touchton, Noah A.</cp:lastModifiedBy>
  <dcterms:created xsi:type="dcterms:W3CDTF">2025-09-16T03:22:33Z</dcterms:created>
  <dcterms:modified xsi:type="dcterms:W3CDTF">2025-09-30T19:26:32Z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