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Aero Design 1\Trade Studies\"/>
    </mc:Choice>
  </mc:AlternateContent>
  <xr:revisionPtr revIDLastSave="0" documentId="13_ncr:1_{6575521E-D3C0-49CD-81F2-529FFAD3E4EE}" xr6:coauthVersionLast="47" xr6:coauthVersionMax="47" xr10:uidLastSave="{00000000-0000-0000-0000-000000000000}"/>
  <bookViews>
    <workbookView xWindow="-120" yWindow="-120" windowWidth="38640" windowHeight="2112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<sst xmlns="http://schemas.openxmlformats.org/spreadsheetml/2006/main" count="72" uniqueCount="49">
  <si>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</si>
  <si>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</si>
  <si>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</si>
  <si>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</si>
  <si>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</si>
  <si>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</si>
  <si>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</si>
  <si>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</si>
  <si>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</si>
  <si>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</si>
  <si>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</si>
  <si>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</si>
  <si>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</si>
  <si>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</si>
  <si>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</si>
  <si>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</si>
  <si>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</si>
  <si>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</si>
  <si>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</si>
  <si>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</si>
  <si>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</si>
  <si>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</si>
  <si>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</si>
  <si>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</si>
  <si>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</si>
  <si>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</si>
  <si>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</si>
  <si>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</si>
  <si>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</si>
  <si>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</si>
  <si>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</si>
  <si>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</si>
  <si>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</si>
  <si>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</si>
  <si>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</si>
  <si>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</si>
  <si>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</si>
  <si>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</si>
  <si>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W</t>
  </si>
  <si>
    <t>g</t>
  </si>
  <si>
    <t>TT&amp;C Antenna</t>
  </si>
  <si>
    <t>Peak Gain</t>
  </si>
  <si>
    <t>VSWR</t>
  </si>
  <si>
    <t>Input Power Rating</t>
  </si>
  <si>
    <t>dBi</t>
  </si>
  <si>
    <t>dB</t>
  </si>
  <si>
    <t>GomSpace ANT430 (1U)</t>
  </si>
  <si>
    <t>NanoAvionics UHF Turnstile (1×1U)</t>
  </si>
  <si>
    <t>EnduroSat UHF Antenna 1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</si>
</sst>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2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16" fontId="0" fillId="0" borderId="29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4" fontId="1" fillId="4" borderId="23" xfId="0" applyNumberFormat="1" applyFont="1" applyFill="1" applyBorder="1" applyAlignment="1">
      <alignment horizontal="center"/>
    </xf>
    <xf numFmtId="164" fontId="1" fillId="4" borderId="24" xfId="0" applyNumberFormat="1" applyFont="1" applyFill="1" applyBorder="1" applyAlignment="1">
      <alignment horizontal="center"/>
    </xf>
    <xf numFmtId="164" fontId="1" fillId="4" borderId="25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 wrapText="1"/>
    </xf>
    <xf numFmtId="164" fontId="1" fillId="3" borderId="24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4" borderId="17" xfId="0" applyNumberFormat="1" applyFont="1" applyFill="1" applyBorder="1" applyAlignment="1">
      <alignment horizontal="center"/>
    </xf>
    <xf numFmtId="164" fontId="1" fillId="4" borderId="18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1" fillId="2" borderId="1" xfId="1" applyNumberForma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L12" sqref="L12"/>
    </sheetView>
  </sheetViews>
  <sheetFormatPr defaultColWidth="8.85546875" defaultRowHeight="15" x14ac:dyDescent="0.25"/>
  <cols>
    <col min="1" max="1" width="9.140625" customWidth="1"/>
    <col min="2" max="2" width="15.42578125" customWidth="1"/>
    <col min="3" max="3" width="14" customWidth="1"/>
    <col min="4" max="5" width="14.42578125" customWidth="1"/>
    <col min="6" max="6" width="8.85546875" customWidth="1"/>
    <col min="7" max="8" width="10.140625" customWidth="1"/>
  </cols>
  <sheetData>
    <row r="1" spans="1:14" x14ac:dyDescent="0.25">
      <c r="A1" s="1" t="s">
        <v>0</v>
      </c>
      <c r="B1" s="33" t="s">
        <v>40</v>
      </c>
      <c r="C1" s="34"/>
    </row>
    <row r="2" spans="1:14" x14ac:dyDescent="0.25">
      <c r="A2" s="2" t="s">
        <v>1</v>
      </c>
      <c r="B2" s="35" t="s">
        <v>36</v>
      </c>
      <c r="C2" s="36"/>
    </row>
    <row r="3" spans="1:14" x14ac:dyDescent="0.25">
      <c r="A3" s="2" t="s">
        <v>2</v>
      </c>
      <c r="B3" s="35" t="s">
        <v>37</v>
      </c>
      <c r="C3" s="36"/>
    </row>
    <row r="4" spans="1:14" x14ac:dyDescent="0.25">
      <c r="A4" s="3" t="s">
        <v>3</v>
      </c>
      <c r="B4" s="37">
        <v>45916</v>
      </c>
      <c r="C4" s="38"/>
    </row>
    <row r="5" spans="1:14" ht="15.75" thickBot="1" x14ac:dyDescent="0.3">
      <c r="A5" s="39" t="s">
        <v>5</v>
      </c>
      <c r="B5" s="40"/>
      <c r="C5" s="4" t="s">
        <v>35</v>
      </c>
    </row>
    <row r="8" spans="1:14" ht="15.75" thickBot="1" x14ac:dyDescent="0.3">
      <c r="B8" s="11"/>
      <c r="C8" s="11"/>
      <c r="D8" s="11"/>
      <c r="E8" s="11"/>
    </row>
    <row r="9" spans="1:14" ht="15.75" thickBot="1" x14ac:dyDescent="0.3">
      <c r="A9" s="7"/>
      <c r="B9" s="40" t="s">
        <v>17</v>
      </c>
      <c r="C9" s="40"/>
      <c r="D9" s="40"/>
      <c r="E9" s="43"/>
      <c r="F9" s="54" t="s">
        <v>46</v>
      </c>
      <c r="G9" s="55"/>
      <c r="H9" s="56"/>
      <c r="I9" s="57" t="s">
        <v>47</v>
      </c>
      <c r="J9" s="58"/>
      <c r="K9" s="59"/>
      <c r="L9" s="60" t="s">
        <v>48</v>
      </c>
      <c r="M9" s="61"/>
      <c r="N9" s="62"/>
    </row>
    <row r="10" spans="1:14" x14ac:dyDescent="0.25">
      <c r="B10" s="8" t="s">
        <v>4</v>
      </c>
      <c r="C10" s="28" t="s">
        <v>7</v>
      </c>
      <c r="D10" s="16" t="s">
        <v>6</v>
      </c>
      <c r="E10" s="19" t="s">
        <v>14</v>
      </c>
      <c r="F10" s="63" t="s">
        <v>8</v>
      </c>
      <c r="G10" s="64" t="s">
        <v>10</v>
      </c>
      <c r="H10" s="65" t="s">
        <v>9</v>
      </c>
      <c r="I10" s="63" t="s">
        <v>8</v>
      </c>
      <c r="J10" s="64" t="s">
        <v>10</v>
      </c>
      <c r="K10" s="65" t="s">
        <v>9</v>
      </c>
      <c r="L10" s="63" t="s">
        <v>8</v>
      </c>
      <c r="M10" s="64" t="s">
        <v>10</v>
      </c>
      <c r="N10" s="65" t="s">
        <v>9</v>
      </c>
    </row>
    <row r="11" spans="1:14" x14ac:dyDescent="0.25">
      <c r="B11" s="29" t="s">
        <v>41</v>
      </c>
      <c r="C11" s="30" t="s">
        <v>44</v>
      </c>
      <c r="D11" s="22">
        <v>35</v>
      </c>
      <c r="E11" s="10" t="s">
        <v>15</v>
      </c>
      <c r="F11" s="66">
        <v>1.6</v>
      </c>
      <c r="G11" s="67">
        <f>IF($E11="Y", F11/SUM($F11,$I11,$L11), (1/F11)/SUM(1/$F11,1/$I11,1/$L11))</f>
        <v>0.53872053872053871</v>
      </c>
      <c r="H11" s="68">
        <f>G11*D11</f>
        <v>18.855218855218855</v>
      </c>
      <c r="I11" s="66">
        <v>1.37</v>
      </c>
      <c r="J11" s="67">
        <f>IF($E11="Y", I11/SUM($F11,$I11,$L11), (1/I11)/SUM(1/$F11,1/$I11,1/$L11))</f>
        <v>0.46127946127946129</v>
      </c>
      <c r="K11" s="68">
        <f>J11*D11</f>
        <v>16.144781144781145</v>
      </c>
      <c r="L11" s="66">
        <v>0</v>
      </c>
      <c r="M11" s="67">
        <f>IF($E11="Y", L11/SUM($F11,$I11,$L11), (1/L11)/SUM(1/$F11,1/$I11,1/$L11))</f>
        <v>0</v>
      </c>
      <c r="N11" s="68">
        <f>M11*D11</f>
        <v>0</v>
      </c>
    </row>
    <row r="12" spans="1:14" x14ac:dyDescent="0.25">
      <c r="B12" s="31" t="s">
        <v>30</v>
      </c>
      <c r="C12" s="23" t="s">
        <v>39</v>
      </c>
      <c r="D12" s="24">
        <v>25</v>
      </c>
      <c r="E12" s="10" t="s">
        <v>16</v>
      </c>
      <c r="F12" s="66">
        <v>30</v>
      </c>
      <c r="G12" s="67">
        <f t="shared" ref="G12:G14" si="0">IF($E12="Y", F12/SUM($F12,$I12,$L12), (1/F12)/SUM(1/$F12,1/$I12,1/$L12))</f>
        <v>0.44208037825059104</v>
      </c>
      <c r="H12" s="68">
        <f t="shared" ref="H12:H14" si="1">G12*D12</f>
        <v>11.052009456264775</v>
      </c>
      <c r="I12" s="66">
        <v>33</v>
      </c>
      <c r="J12" s="67">
        <f t="shared" ref="J12:J14" si="2">IF($E12="Y", I12/SUM($F12,$I12,$L12), (1/I12)/SUM(1/$F12,1/$I12,1/$L12))</f>
        <v>0.40189125295508277</v>
      </c>
      <c r="K12" s="68">
        <f t="shared" ref="K12:K14" si="3">J12*D12</f>
        <v>10.047281323877069</v>
      </c>
      <c r="L12" s="66">
        <v>85</v>
      </c>
      <c r="M12" s="67">
        <f t="shared" ref="M12:M14" si="4">IF($E12="Y", L12/SUM($F12,$I12,$L12), (1/L12)/SUM(1/$F12,1/$I12,1/$L12))</f>
        <v>0.15602836879432624</v>
      </c>
      <c r="N12" s="68">
        <f t="shared" ref="N12:N14" si="5">M12*D12</f>
        <v>3.9007092198581561</v>
      </c>
    </row>
    <row r="13" spans="1:14" x14ac:dyDescent="0.25">
      <c r="B13" s="31" t="s">
        <v>42</v>
      </c>
      <c r="C13" s="32" t="s">
        <v>45</v>
      </c>
      <c r="D13" s="24">
        <v>20</v>
      </c>
      <c r="E13" s="10" t="s">
        <v>16</v>
      </c>
      <c r="F13" s="66">
        <v>1.3</v>
      </c>
      <c r="G13" s="67">
        <f t="shared" si="0"/>
        <v>0.76363636363636356</v>
      </c>
      <c r="H13" s="68">
        <f t="shared" si="1"/>
        <v>15.272727272727272</v>
      </c>
      <c r="I13" s="66">
        <v>14</v>
      </c>
      <c r="J13" s="67">
        <f t="shared" si="2"/>
        <v>7.0909090909090908E-2</v>
      </c>
      <c r="K13" s="68">
        <f t="shared" si="3"/>
        <v>1.4181818181818182</v>
      </c>
      <c r="L13" s="66">
        <v>6</v>
      </c>
      <c r="M13" s="67">
        <f t="shared" si="4"/>
        <v>0.16545454545454544</v>
      </c>
      <c r="N13" s="68">
        <f t="shared" si="5"/>
        <v>3.3090909090909086</v>
      </c>
    </row>
    <row r="14" spans="1:14" ht="15.75" thickBot="1" x14ac:dyDescent="0.3">
      <c r="B14" s="31" t="s">
        <v>43</v>
      </c>
      <c r="C14" s="23" t="s">
        <v>38</v>
      </c>
      <c r="D14" s="24">
        <v>20</v>
      </c>
      <c r="E14" s="10" t="s">
        <v>15</v>
      </c>
      <c r="F14" s="66">
        <v>10</v>
      </c>
      <c r="G14" s="67">
        <f t="shared" si="0"/>
        <v>0.33333333333333331</v>
      </c>
      <c r="H14" s="68">
        <f t="shared" si="1"/>
        <v>6.6666666666666661</v>
      </c>
      <c r="I14" s="66">
        <v>10</v>
      </c>
      <c r="J14" s="67">
        <f t="shared" si="2"/>
        <v>0.33333333333333331</v>
      </c>
      <c r="K14" s="68">
        <f t="shared" si="3"/>
        <v>6.6666666666666661</v>
      </c>
      <c r="L14" s="66">
        <v>10</v>
      </c>
      <c r="M14" s="67">
        <f t="shared" si="4"/>
        <v>0.33333333333333331</v>
      </c>
      <c r="N14" s="68">
        <f t="shared" si="5"/>
        <v>6.6666666666666661</v>
      </c>
    </row>
    <row r="15" spans="1:14" ht="16.5" thickTop="1" thickBot="1" x14ac:dyDescent="0.3">
      <c r="B15" s="47" t="s">
        <v>12</v>
      </c>
      <c r="C15" s="48"/>
      <c r="D15" s="48"/>
      <c r="E15" s="49"/>
      <c r="F15" s="69"/>
      <c r="G15" s="70"/>
      <c r="H15" s="71">
        <f>SUM(H11:H14)</f>
        <v>51.846622250877566</v>
      </c>
      <c r="I15" s="69"/>
      <c r="J15" s="70"/>
      <c r="K15" s="71">
        <f>SUM(K11:K14)</f>
        <v>34.2769109535067</v>
      </c>
      <c r="L15" s="69"/>
      <c r="M15" s="70"/>
      <c r="N15" s="71">
        <f>SUM(N11:N14)</f>
        <v>13.87646679561573</v>
      </c>
    </row>
  </sheetData>
  <mergeCells count="10">
    <mergeCell ref="I9:K9"/>
    <mergeCell ref="L9:N9"/>
    <mergeCell ref="B9:E9"/>
    <mergeCell ref="F9:H9"/>
    <mergeCell ref="B15:E15"/>
    <mergeCell ref="B1:C1"/>
    <mergeCell ref="B2:C2"/>
    <mergeCell ref="B3:C3"/>
    <mergeCell ref="B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defaultColWidth="8.85546875" defaultRowHeight="15" x14ac:dyDescent="0.25"/>
  <sheetData>
    <row r="1" spans="1:11" x14ac:dyDescent="0.25">
      <c r="A1" s="20" t="s">
        <v>18</v>
      </c>
    </row>
    <row r="2" spans="1:11" x14ac:dyDescent="0.25">
      <c r="A2" t="s">
        <v>19</v>
      </c>
    </row>
    <row r="4" spans="1:11" x14ac:dyDescent="0.25">
      <c r="A4" t="s">
        <v>20</v>
      </c>
    </row>
    <row r="5" spans="1:11" x14ac:dyDescent="0.25">
      <c r="B5" t="s">
        <v>21</v>
      </c>
    </row>
    <row r="6" spans="1:11" x14ac:dyDescent="0.25">
      <c r="B6" t="s">
        <v>24</v>
      </c>
    </row>
    <row r="7" spans="1:11" x14ac:dyDescent="0.25">
      <c r="A7" t="s">
        <v>22</v>
      </c>
    </row>
    <row r="8" spans="1:11" x14ac:dyDescent="0.25">
      <c r="B8" t="s">
        <v>23</v>
      </c>
    </row>
    <row r="9" spans="1:11" x14ac:dyDescent="0.25">
      <c r="A9" t="s">
        <v>25</v>
      </c>
    </row>
    <row r="11" spans="1:11" x14ac:dyDescent="0.25">
      <c r="A11" s="21" t="s">
        <v>26</v>
      </c>
    </row>
    <row r="12" spans="1:11" x14ac:dyDescent="0.25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5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5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5.75" thickBot="1" x14ac:dyDescent="0.3"/>
    <row r="16" spans="1:11" ht="15.75" thickBot="1" x14ac:dyDescent="0.3">
      <c r="B16" s="50" t="s">
        <v>17</v>
      </c>
      <c r="C16" s="51"/>
      <c r="D16" s="51"/>
      <c r="E16" s="52"/>
      <c r="F16" s="44" t="s">
        <v>11</v>
      </c>
      <c r="G16" s="45"/>
      <c r="H16" s="46"/>
      <c r="I16" s="53" t="s">
        <v>13</v>
      </c>
      <c r="J16" s="41"/>
      <c r="K16" s="42"/>
    </row>
    <row r="17" spans="2:11" x14ac:dyDescent="0.25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5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5.75" thickBot="1" x14ac:dyDescent="0.3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6.5" thickTop="1" thickBot="1" x14ac:dyDescent="0.3">
      <c r="B20" s="47" t="s">
        <v>12</v>
      </c>
      <c r="C20" s="48"/>
      <c r="D20" s="48"/>
      <c r="E20" s="49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5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Touchton, Noah A.</cp:lastModifiedBy>
  <dcterms:created xsi:type="dcterms:W3CDTF">2025-09-16T03:22:33Z</dcterms:created>
  <dcterms:modified xsi:type="dcterms:W3CDTF">2025-11-05T23:08:50Z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