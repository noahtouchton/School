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touchton/School_Git/School/Fall 2025/Aero Design 1/Trade Studies/"/>
    </mc:Choice>
  </mc:AlternateContent>
  <xr:revisionPtr revIDLastSave="0" documentId="13_ncr:11_{1C269297-43A6-DA42-8EFC-5749F7009E79}" xr6:coauthVersionLast="47" xr6:coauthVersionMax="47" xr10:uidLastSave="{00000000-0000-0000-0000-000000000000}"/>
  <bookViews>
    <workbookView xWindow="4420" yWindow="900" windowWidth="27160" windowHeight="20960" xr2:uid="{CBE0DF9F-DDFE-4833-8F35-1B1A204C32DC}"/>
  </bookViews>
  <sheets>
    <sheet name="TS" sheetId="1" r:id="rId1"/>
    <sheet name="Instructions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1" l="1"/>
  <c r="N14" i="1" s="1"/>
  <c r="J14" i="1"/>
  <c r="K14" i="1" s="1"/>
  <c r="G14" i="1"/>
  <c r="H14" i="1" s="1"/>
  <c r="M12" i="1"/>
  <c r="N12" i="1" s="1"/>
  <c r="M13" i="1"/>
  <c r="N13" i="1" s="1"/>
  <c r="M11" i="1"/>
  <c r="N11" i="1" s="1"/>
  <c r="J12" i="1"/>
  <c r="K12" i="1" s="1"/>
  <c r="J13" i="1"/>
  <c r="K13" i="1" s="1"/>
  <c r="J11" i="1"/>
  <c r="K11" i="1" s="1"/>
  <c r="G12" i="1"/>
  <c r="H12" i="1" s="1"/>
  <c r="G13" i="1"/>
  <c r="H13" i="1" s="1"/>
  <c r="G11" i="1"/>
  <c r="H11" i="1" s="1"/>
  <c r="J19" i="2"/>
  <c r="K19" i="2" s="1"/>
  <c r="G19" i="2"/>
  <c r="G18" i="2"/>
  <c r="J18" i="2"/>
  <c r="K18" i="2" s="1"/>
  <c r="H18" i="2"/>
  <c r="H19" i="2"/>
  <c r="H20" i="2" l="1"/>
  <c r="K20" i="2"/>
  <c r="N15" i="1"/>
  <c r="K15" i="1"/>
  <c r="H15" i="1" l="1"/>
</calcChain>
</file>

<file path=xl/sharedStrings.xml><?xml version="1.0" encoding="utf-8"?>
<sst xmlns="http://schemas.openxmlformats.org/spreadsheetml/2006/main" count="72" uniqueCount="49">
  <si>
    <t>Part:</t>
  </si>
  <si>
    <t>Name:</t>
  </si>
  <si>
    <t>Subteam:</t>
  </si>
  <si>
    <t>Date:</t>
  </si>
  <si>
    <t>Name</t>
  </si>
  <si>
    <t>Trade Study</t>
  </si>
  <si>
    <t>Weight</t>
  </si>
  <si>
    <t>Units</t>
  </si>
  <si>
    <t>Mag.</t>
  </si>
  <si>
    <t>W. Score</t>
  </si>
  <si>
    <t>Uw. Score</t>
  </si>
  <si>
    <t>Design 1</t>
  </si>
  <si>
    <t>Overall Score</t>
  </si>
  <si>
    <t>Design 2</t>
  </si>
  <si>
    <t>Maximize?</t>
  </si>
  <si>
    <t>Y</t>
  </si>
  <si>
    <t>N</t>
  </si>
  <si>
    <t>Categories</t>
  </si>
  <si>
    <t>GUIDE</t>
  </si>
  <si>
    <t xml:space="preserve">A trade study helps you objectively decide on a design to use from a selection of designs. Given a set of quantitative values, a trade study assigns each design a score </t>
  </si>
  <si>
    <r>
      <t xml:space="preserve">For each design you are comparing, enter a magnitude for each category. The design's </t>
    </r>
    <r>
      <rPr>
        <i/>
        <sz val="11"/>
        <color theme="1"/>
        <rFont val="Aptos Narrow"/>
        <family val="2"/>
        <scheme val="minor"/>
      </rPr>
      <t>unweighted</t>
    </r>
    <r>
      <rPr>
        <sz val="11"/>
        <color theme="1"/>
        <rFont val="Aptos Narrow"/>
        <family val="2"/>
        <scheme val="minor"/>
      </rPr>
      <t xml:space="preserve"> score for that category is said magnitude divided by the sum of the magnitudes for that category across</t>
    </r>
  </si>
  <si>
    <r>
      <t xml:space="preserve">all designs. Its </t>
    </r>
    <r>
      <rPr>
        <i/>
        <sz val="11"/>
        <color theme="1"/>
        <rFont val="Aptos Narrow"/>
        <family val="2"/>
        <scheme val="minor"/>
      </rPr>
      <t>weighted</t>
    </r>
    <r>
      <rPr>
        <sz val="11"/>
        <color theme="1"/>
        <rFont val="Aptos Narrow"/>
        <family val="2"/>
        <scheme val="minor"/>
      </rPr>
      <t xml:space="preserve"> score is simply that the unweighted score multiplied by the category's weight. The total score of a design is the sum of all its weighted scores. Whichever design has</t>
    </r>
  </si>
  <si>
    <t>This Excel sheet also allows you to weight based on the minimum score. This process is identical to standard weighting except that in all places 1/magnitude is used instead of the magnitude. To enable this</t>
  </si>
  <si>
    <t>simply change the value of the "Maximize?" entry for the category of interest from "Y" to "N".</t>
  </si>
  <si>
    <t>the largest total score wins the trade study. For a few categories it is simpler to make the weights yourself (they must add up to 1). Otherwise use a binary decision matrix.</t>
  </si>
  <si>
    <t>If a category is instead  qualitative in nature, assign quantatative values using a rating scale. Common examples are 1-5 or 1-10 where higher numbers are better.</t>
  </si>
  <si>
    <t>Example: 2 categories 2 designs.</t>
  </si>
  <si>
    <t>mm</t>
  </si>
  <si>
    <t>kg</t>
  </si>
  <si>
    <t>Length</t>
  </si>
  <si>
    <t>Mass</t>
  </si>
  <si>
    <t>Let's evaluate two categories: length and mass. We give length a weighting of 0.75 and mass a weighting of 0.25. We then input the length and mass for both designs. The unweighted length score</t>
  </si>
  <si>
    <t>for design 1 is 117/(117 +134) and to weight it we just multiply it by 0.75. For mass score, it's different bcause "Maximize?" is set to "N" and so instead we do (1/5)/((1/5)+(1/3)) to get the unweighted</t>
  </si>
  <si>
    <t>score and then multiply by 0.25 to get the weighted score. We then repeat the process with design 2.</t>
  </si>
  <si>
    <t>To find the overall score of each design we simply sum their weighted scores. Design 2 has the larger overall score so it wins the trade study.</t>
  </si>
  <si>
    <t>(Group 4)</t>
  </si>
  <si>
    <t>Noah Touchton</t>
  </si>
  <si>
    <t>Communications</t>
  </si>
  <si>
    <t>W</t>
  </si>
  <si>
    <t>g</t>
  </si>
  <si>
    <t>S-Band Antenna</t>
  </si>
  <si>
    <t>Peak Gain</t>
  </si>
  <si>
    <t>dBic/dBi</t>
  </si>
  <si>
    <t>HPBW</t>
  </si>
  <si>
    <t>degrees</t>
  </si>
  <si>
    <t>RF</t>
  </si>
  <si>
    <t>ISISPACE PATCH</t>
  </si>
  <si>
    <t>Anywaves S-Band</t>
  </si>
  <si>
    <t>EnduroSat S-Band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</si>
</sst>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3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8">
    <xf numFmtId="0" fontId="0" fillId="0" borderId="0" xfId="0"/>
    <xf numFmtId="0" fontId="0" fillId="0" borderId="2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4" borderId="13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7" xfId="0" applyBorder="1"/>
    <xf numFmtId="0" fontId="0" fillId="0" borderId="2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/>
    <xf numFmtId="0" fontId="0" fillId="0" borderId="2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27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0" xfId="0" applyBorder="1" applyAlignment="1">
      <alignment horizontal="center"/>
    </xf>
    <xf numFmtId="0" fontId="1" fillId="2" borderId="1" xfId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1" fillId="3" borderId="23" xfId="0" applyFont="1" applyFill="1" applyBorder="1" applyAlignment="1">
      <alignment horizontal="center" wrapText="1"/>
    </xf>
    <xf numFmtId="0" fontId="1" fillId="3" borderId="24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19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14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16" fontId="0" fillId="0" borderId="29" xfId="0" applyNumberFormat="1" applyBorder="1" applyAlignment="1">
      <alignment horizont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florida.sharepoint.com/teams/LiquidPropulsionDevelopmentTeam/Shared%20Documents/General/25-26/Binary%20Decision%20Matrix%20Template.xlsx" TargetMode="External"/><Relationship Id="rId1" Type="http://schemas.openxmlformats.org/officeDocument/2006/relationships/externalLinkPath" Target="https://uflorida.sharepoint.com/teams/LiquidPropulsionDevelopmentTeam/Shared%20Documents/General/25-26/Binary%20Decision%20Matrix%20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DM"/>
      <sheetName val="Instruction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302AA-4CFD-4C9C-A5EA-EC60A679F4CF}">
  <dimension ref="A1:N15"/>
  <sheetViews>
    <sheetView tabSelected="1" workbookViewId="0">
      <selection activeCell="M14" sqref="M14"/>
    </sheetView>
  </sheetViews>
  <sheetFormatPr baseColWidth="10" defaultColWidth="8.83203125" defaultRowHeight="15" x14ac:dyDescent="0.2"/>
  <cols>
    <col min="1" max="1" width="9.1640625" customWidth="1"/>
    <col min="2" max="2" width="15.5" customWidth="1"/>
    <col min="3" max="3" width="14" customWidth="1"/>
    <col min="4" max="5" width="14.5" customWidth="1"/>
    <col min="6" max="6" width="8.83203125" customWidth="1"/>
    <col min="7" max="8" width="10.1640625" customWidth="1"/>
  </cols>
  <sheetData>
    <row r="1" spans="1:14" x14ac:dyDescent="0.2">
      <c r="A1" s="1" t="s">
        <v>0</v>
      </c>
      <c r="B1" s="46" t="s">
        <v>40</v>
      </c>
      <c r="C1" s="47"/>
    </row>
    <row r="2" spans="1:14" x14ac:dyDescent="0.2">
      <c r="A2" s="2" t="s">
        <v>1</v>
      </c>
      <c r="B2" s="48" t="s">
        <v>36</v>
      </c>
      <c r="C2" s="49"/>
    </row>
    <row r="3" spans="1:14" x14ac:dyDescent="0.2">
      <c r="A3" s="2" t="s">
        <v>2</v>
      </c>
      <c r="B3" s="48" t="s">
        <v>37</v>
      </c>
      <c r="C3" s="49"/>
    </row>
    <row r="4" spans="1:14" x14ac:dyDescent="0.2">
      <c r="A4" s="3" t="s">
        <v>3</v>
      </c>
      <c r="B4" s="50">
        <v>45916</v>
      </c>
      <c r="C4" s="51"/>
    </row>
    <row r="5" spans="1:14" ht="16" thickBot="1" x14ac:dyDescent="0.25">
      <c r="A5" s="52" t="s">
        <v>5</v>
      </c>
      <c r="B5" s="38"/>
      <c r="C5" s="4" t="s">
        <v>35</v>
      </c>
    </row>
    <row r="8" spans="1:14" ht="16" thickBot="1" x14ac:dyDescent="0.25">
      <c r="B8" s="11"/>
      <c r="C8" s="11"/>
      <c r="D8" s="11"/>
      <c r="E8" s="11"/>
    </row>
    <row r="9" spans="1:14" ht="16" thickBot="1" x14ac:dyDescent="0.25">
      <c r="A9" s="7"/>
      <c r="B9" s="38" t="s">
        <v>17</v>
      </c>
      <c r="C9" s="38"/>
      <c r="D9" s="38"/>
      <c r="E9" s="39"/>
      <c r="F9" s="40" t="s">
        <v>46</v>
      </c>
      <c r="G9" s="41"/>
      <c r="H9" s="42"/>
      <c r="I9" s="32" t="s">
        <v>47</v>
      </c>
      <c r="J9" s="33"/>
      <c r="K9" s="34"/>
      <c r="L9" s="35" t="s">
        <v>48</v>
      </c>
      <c r="M9" s="36"/>
      <c r="N9" s="37"/>
    </row>
    <row r="10" spans="1:14" x14ac:dyDescent="0.2">
      <c r="B10" s="8" t="s">
        <v>4</v>
      </c>
      <c r="C10" s="28" t="s">
        <v>7</v>
      </c>
      <c r="D10" s="16" t="s">
        <v>6</v>
      </c>
      <c r="E10" s="19" t="s">
        <v>14</v>
      </c>
      <c r="F10" s="17" t="s">
        <v>8</v>
      </c>
      <c r="G10" s="18" t="s">
        <v>10</v>
      </c>
      <c r="H10" s="12" t="s">
        <v>9</v>
      </c>
      <c r="I10" s="17" t="s">
        <v>8</v>
      </c>
      <c r="J10" s="18" t="s">
        <v>10</v>
      </c>
      <c r="K10" s="12" t="s">
        <v>9</v>
      </c>
      <c r="L10" s="17" t="s">
        <v>8</v>
      </c>
      <c r="M10" s="18" t="s">
        <v>10</v>
      </c>
      <c r="N10" s="12" t="s">
        <v>9</v>
      </c>
    </row>
    <row r="11" spans="1:14" x14ac:dyDescent="0.2">
      <c r="B11" s="29" t="s">
        <v>41</v>
      </c>
      <c r="C11" s="30" t="s">
        <v>42</v>
      </c>
      <c r="D11" s="22">
        <v>40</v>
      </c>
      <c r="E11" s="10" t="s">
        <v>15</v>
      </c>
      <c r="F11" s="5">
        <v>6.5</v>
      </c>
      <c r="G11" s="24">
        <f>IF($E11="Y", F11/SUM($F11,$I11,$L11), (1/F11)/SUM(1/$F11,1/$I11,1/$L11))</f>
        <v>0.3611111111111111</v>
      </c>
      <c r="H11" s="10">
        <f>G11*D11</f>
        <v>14.444444444444445</v>
      </c>
      <c r="I11" s="5">
        <v>6.5</v>
      </c>
      <c r="J11" s="24">
        <f>IF($E11="Y", I11/SUM($F11,$I11,$L11), (1/I11)/SUM(1/$F11,1/$I11,1/$L11))</f>
        <v>0.3611111111111111</v>
      </c>
      <c r="K11" s="10">
        <f>J11*D11</f>
        <v>14.444444444444445</v>
      </c>
      <c r="L11" s="5">
        <v>5</v>
      </c>
      <c r="M11" s="24">
        <f>IF($E11="Y", L11/SUM($F11,$I11,$L11), (1/L11)/SUM(1/$F11,1/$I11,1/$L11))</f>
        <v>0.27777777777777779</v>
      </c>
      <c r="N11" s="10">
        <f>M11*D11</f>
        <v>11.111111111111111</v>
      </c>
    </row>
    <row r="12" spans="1:14" x14ac:dyDescent="0.2">
      <c r="B12" s="31" t="s">
        <v>43</v>
      </c>
      <c r="C12" s="23" t="s">
        <v>44</v>
      </c>
      <c r="D12" s="24">
        <v>20</v>
      </c>
      <c r="E12" s="10" t="s">
        <v>15</v>
      </c>
      <c r="F12" s="5">
        <v>100</v>
      </c>
      <c r="G12" s="24">
        <f t="shared" ref="G12:G14" si="0">IF($E12="Y", F12/SUM($F12,$I12,$L12), (1/F12)/SUM(1/$F12,1/$I12,1/$L12))</f>
        <v>0.38461538461538464</v>
      </c>
      <c r="H12" s="10">
        <f t="shared" ref="H12:H14" si="1">G12*D12</f>
        <v>7.6923076923076925</v>
      </c>
      <c r="I12" s="5">
        <v>90</v>
      </c>
      <c r="J12" s="24">
        <f t="shared" ref="J12:J14" si="2">IF($E12="Y", I12/SUM($F12,$I12,$L12), (1/I12)/SUM(1/$F12,1/$I12,1/$L12))</f>
        <v>0.34615384615384615</v>
      </c>
      <c r="K12" s="10">
        <f t="shared" ref="K12:K14" si="3">J12*D12</f>
        <v>6.9230769230769234</v>
      </c>
      <c r="L12" s="5">
        <v>70</v>
      </c>
      <c r="M12" s="24">
        <f t="shared" ref="M12:M14" si="4">IF($E12="Y", L12/SUM($F12,$I12,$L12), (1/L12)/SUM(1/$F12,1/$I12,1/$L12))</f>
        <v>0.26923076923076922</v>
      </c>
      <c r="N12" s="10">
        <f t="shared" ref="N12:N14" si="5">M12*D12</f>
        <v>5.3846153846153841</v>
      </c>
    </row>
    <row r="13" spans="1:14" x14ac:dyDescent="0.2">
      <c r="B13" s="31" t="s">
        <v>30</v>
      </c>
      <c r="C13" s="57" t="s">
        <v>39</v>
      </c>
      <c r="D13" s="24">
        <v>20</v>
      </c>
      <c r="E13" s="10" t="s">
        <v>16</v>
      </c>
      <c r="F13" s="5">
        <v>50</v>
      </c>
      <c r="G13" s="24">
        <f t="shared" si="0"/>
        <v>0.56013247774787833</v>
      </c>
      <c r="H13" s="10">
        <f t="shared" si="1"/>
        <v>11.202649554957567</v>
      </c>
      <c r="I13" s="5">
        <v>132</v>
      </c>
      <c r="J13" s="24">
        <f t="shared" si="2"/>
        <v>0.21217139308631755</v>
      </c>
      <c r="K13" s="10">
        <f t="shared" si="3"/>
        <v>4.2434278617263512</v>
      </c>
      <c r="L13" s="5">
        <v>123</v>
      </c>
      <c r="M13" s="24">
        <f t="shared" si="4"/>
        <v>0.2276961291658042</v>
      </c>
      <c r="N13" s="10">
        <f t="shared" si="5"/>
        <v>4.5539225833160843</v>
      </c>
    </row>
    <row r="14" spans="1:14" ht="16" thickBot="1" x14ac:dyDescent="0.25">
      <c r="B14" s="31" t="s">
        <v>45</v>
      </c>
      <c r="C14" s="23" t="s">
        <v>38</v>
      </c>
      <c r="D14" s="24">
        <v>20</v>
      </c>
      <c r="E14" s="10" t="s">
        <v>15</v>
      </c>
      <c r="F14" s="5">
        <v>2</v>
      </c>
      <c r="G14" s="24">
        <f t="shared" si="0"/>
        <v>0.22222222222222221</v>
      </c>
      <c r="H14" s="10">
        <f t="shared" si="1"/>
        <v>4.4444444444444446</v>
      </c>
      <c r="I14" s="5">
        <v>3</v>
      </c>
      <c r="J14" s="24">
        <f t="shared" si="2"/>
        <v>0.33333333333333331</v>
      </c>
      <c r="K14" s="10">
        <f t="shared" si="3"/>
        <v>6.6666666666666661</v>
      </c>
      <c r="L14" s="5">
        <v>4</v>
      </c>
      <c r="M14" s="24">
        <f t="shared" si="4"/>
        <v>0.44444444444444442</v>
      </c>
      <c r="N14" s="10">
        <f t="shared" si="5"/>
        <v>8.8888888888888893</v>
      </c>
    </row>
    <row r="15" spans="1:14" ht="17" thickTop="1" thickBot="1" x14ac:dyDescent="0.25">
      <c r="B15" s="43" t="s">
        <v>12</v>
      </c>
      <c r="C15" s="44"/>
      <c r="D15" s="44"/>
      <c r="E15" s="45"/>
      <c r="F15" s="13"/>
      <c r="G15" s="14"/>
      <c r="H15" s="27">
        <f>SUM(H11:H14)</f>
        <v>37.783846136154146</v>
      </c>
      <c r="I15" s="13"/>
      <c r="J15" s="14"/>
      <c r="K15" s="27">
        <f>SUM(K11:K14)</f>
        <v>32.277615895914387</v>
      </c>
      <c r="L15" s="13"/>
      <c r="M15" s="14"/>
      <c r="N15" s="27">
        <f>SUM(N11:N14)</f>
        <v>29.938537967931467</v>
      </c>
    </row>
  </sheetData>
  <mergeCells count="10">
    <mergeCell ref="B1:C1"/>
    <mergeCell ref="B2:C2"/>
    <mergeCell ref="B3:C3"/>
    <mergeCell ref="B4:C4"/>
    <mergeCell ref="A5:B5"/>
    <mergeCell ref="I9:K9"/>
    <mergeCell ref="L9:N9"/>
    <mergeCell ref="B9:E9"/>
    <mergeCell ref="F9:H9"/>
    <mergeCell ref="B15:E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7BE7C-5C9C-4832-909A-18821EF79075}">
  <dimension ref="A1:K22"/>
  <sheetViews>
    <sheetView workbookViewId="0">
      <selection activeCell="B23" sqref="B23"/>
    </sheetView>
  </sheetViews>
  <sheetFormatPr baseColWidth="10" defaultColWidth="8.83203125" defaultRowHeight="15" x14ac:dyDescent="0.2"/>
  <sheetData>
    <row r="1" spans="1:11" x14ac:dyDescent="0.2">
      <c r="A1" s="20" t="s">
        <v>18</v>
      </c>
    </row>
    <row r="2" spans="1:11" x14ac:dyDescent="0.2">
      <c r="A2" t="s">
        <v>19</v>
      </c>
    </row>
    <row r="4" spans="1:11" x14ac:dyDescent="0.2">
      <c r="A4" t="s">
        <v>20</v>
      </c>
    </row>
    <row r="5" spans="1:11" x14ac:dyDescent="0.2">
      <c r="B5" t="s">
        <v>21</v>
      </c>
    </row>
    <row r="6" spans="1:11" x14ac:dyDescent="0.2">
      <c r="B6" t="s">
        <v>24</v>
      </c>
    </row>
    <row r="7" spans="1:11" x14ac:dyDescent="0.2">
      <c r="A7" t="s">
        <v>22</v>
      </c>
    </row>
    <row r="8" spans="1:11" x14ac:dyDescent="0.2">
      <c r="B8" t="s">
        <v>23</v>
      </c>
    </row>
    <row r="9" spans="1:11" x14ac:dyDescent="0.2">
      <c r="A9" t="s">
        <v>25</v>
      </c>
    </row>
    <row r="11" spans="1:11" x14ac:dyDescent="0.2">
      <c r="A11" s="21" t="s">
        <v>26</v>
      </c>
    </row>
    <row r="12" spans="1:11" x14ac:dyDescent="0.2">
      <c r="B12" s="21" t="s">
        <v>31</v>
      </c>
      <c r="C12" s="21"/>
      <c r="D12" s="21"/>
      <c r="E12" s="21"/>
      <c r="F12" s="21"/>
      <c r="G12" s="21"/>
      <c r="H12" s="21"/>
      <c r="I12" s="21"/>
      <c r="J12" s="21"/>
    </row>
    <row r="13" spans="1:11" x14ac:dyDescent="0.2">
      <c r="B13" s="21" t="s">
        <v>32</v>
      </c>
      <c r="C13" s="21"/>
      <c r="D13" s="21"/>
      <c r="E13" s="21"/>
      <c r="F13" s="21"/>
      <c r="G13" s="21"/>
      <c r="H13" s="21"/>
      <c r="I13" s="21"/>
      <c r="J13" s="21"/>
    </row>
    <row r="14" spans="1:11" x14ac:dyDescent="0.2">
      <c r="B14" s="21" t="s">
        <v>33</v>
      </c>
      <c r="C14" s="21"/>
      <c r="D14" s="21"/>
      <c r="E14" s="21"/>
      <c r="F14" s="21"/>
      <c r="G14" s="21"/>
      <c r="H14" s="21"/>
      <c r="I14" s="21"/>
      <c r="J14" s="21"/>
    </row>
    <row r="15" spans="1:11" ht="16" thickBot="1" x14ac:dyDescent="0.25"/>
    <row r="16" spans="1:11" ht="16" thickBot="1" x14ac:dyDescent="0.25">
      <c r="B16" s="53" t="s">
        <v>17</v>
      </c>
      <c r="C16" s="54"/>
      <c r="D16" s="54"/>
      <c r="E16" s="55"/>
      <c r="F16" s="40" t="s">
        <v>11</v>
      </c>
      <c r="G16" s="41"/>
      <c r="H16" s="42"/>
      <c r="I16" s="56" t="s">
        <v>13</v>
      </c>
      <c r="J16" s="33"/>
      <c r="K16" s="34"/>
    </row>
    <row r="17" spans="2:11" x14ac:dyDescent="0.2">
      <c r="B17" s="8" t="s">
        <v>4</v>
      </c>
      <c r="C17" s="16" t="s">
        <v>7</v>
      </c>
      <c r="D17" s="16" t="s">
        <v>6</v>
      </c>
      <c r="E17" s="19" t="s">
        <v>14</v>
      </c>
      <c r="F17" s="17" t="s">
        <v>8</v>
      </c>
      <c r="G17" s="18" t="s">
        <v>10</v>
      </c>
      <c r="H17" s="12" t="s">
        <v>9</v>
      </c>
      <c r="I17" s="17" t="s">
        <v>8</v>
      </c>
      <c r="J17" s="18" t="s">
        <v>10</v>
      </c>
      <c r="K17" s="12" t="s">
        <v>9</v>
      </c>
    </row>
    <row r="18" spans="2:11" x14ac:dyDescent="0.2">
      <c r="B18" s="9" t="s">
        <v>29</v>
      </c>
      <c r="C18" s="22" t="s">
        <v>27</v>
      </c>
      <c r="D18" s="23">
        <v>0.75</v>
      </c>
      <c r="E18" s="10" t="s">
        <v>15</v>
      </c>
      <c r="F18" s="5">
        <v>117</v>
      </c>
      <c r="G18" s="24">
        <f>134/(117+134)</f>
        <v>0.53386454183266929</v>
      </c>
      <c r="H18" s="10">
        <f>G18*$D18</f>
        <v>0.40039840637450197</v>
      </c>
      <c r="I18" s="5">
        <v>134</v>
      </c>
      <c r="J18" s="24">
        <f>IF($E18="Y", I18/SUM($G18,$I18,[1]Instructions!$L20,[1]Instructions!$O20,[1]Instructions!$R20), (1/I18)/SUM(1/$G18,1/$I18,1/[1]Instructions!$L20,1/[1]Instructions!$O20,1/[1]Instructions!$R20))</f>
        <v>0.99603174603174616</v>
      </c>
      <c r="K18" s="10">
        <f>J18*$D18</f>
        <v>0.74702380952380965</v>
      </c>
    </row>
    <row r="19" spans="2:11" ht="16" thickBot="1" x14ac:dyDescent="0.25">
      <c r="B19" s="6" t="s">
        <v>30</v>
      </c>
      <c r="C19" s="25" t="s">
        <v>28</v>
      </c>
      <c r="D19" s="26">
        <v>0.25</v>
      </c>
      <c r="E19" s="15" t="s">
        <v>16</v>
      </c>
      <c r="F19" s="6">
        <v>5</v>
      </c>
      <c r="G19" s="25">
        <f>1/5 / (1/5 + 1/3)</f>
        <v>0.375</v>
      </c>
      <c r="H19" s="15">
        <f>G19*$D19</f>
        <v>9.375E-2</v>
      </c>
      <c r="I19" s="6">
        <v>3</v>
      </c>
      <c r="J19" s="25">
        <f>1/3 / (1/5 + 1/3)</f>
        <v>0.625</v>
      </c>
      <c r="K19" s="15">
        <f>J19*$D19</f>
        <v>0.15625</v>
      </c>
    </row>
    <row r="20" spans="2:11" ht="17" thickTop="1" thickBot="1" x14ac:dyDescent="0.25">
      <c r="B20" s="43" t="s">
        <v>12</v>
      </c>
      <c r="C20" s="44"/>
      <c r="D20" s="44"/>
      <c r="E20" s="45"/>
      <c r="F20" s="13"/>
      <c r="G20" s="14"/>
      <c r="H20" s="27">
        <f>SUM(H16:H19)</f>
        <v>0.49414840637450197</v>
      </c>
      <c r="I20" s="13"/>
      <c r="J20" s="14"/>
      <c r="K20" s="27">
        <f>SUM(K16:K19)</f>
        <v>0.90327380952380965</v>
      </c>
    </row>
    <row r="22" spans="2:11" x14ac:dyDescent="0.2">
      <c r="B22" s="21" t="s">
        <v>34</v>
      </c>
    </row>
  </sheetData>
  <mergeCells count="4">
    <mergeCell ref="B20:E20"/>
    <mergeCell ref="B16:E16"/>
    <mergeCell ref="F16:H16"/>
    <mergeCell ref="I16:K1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7bd234a-b872-4d8f-a05f-9ce9a06b0a24" xsi:nil="true"/>
    <lcf76f155ced4ddcb4097134ff3c332f xmlns="619bfd31-fbc9-4e3d-b639-5680fd0427c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5E206EC97B5241AE364FC742D190F1" ma:contentTypeVersion="18" ma:contentTypeDescription="Create a new document." ma:contentTypeScope="" ma:versionID="8284591227d7a4ff90c48262bf6356f1">
  <xsd:schema xmlns:xsd="http://www.w3.org/2001/XMLSchema" xmlns:xs="http://www.w3.org/2001/XMLSchema" xmlns:p="http://schemas.microsoft.com/office/2006/metadata/properties" xmlns:ns2="619bfd31-fbc9-4e3d-b639-5680fd0427c3" xmlns:ns3="37bd234a-b872-4d8f-a05f-9ce9a06b0a24" targetNamespace="http://schemas.microsoft.com/office/2006/metadata/properties" ma:root="true" ma:fieldsID="b29a3fb53242aaf6387bf4e700398a19" ns2:_="" ns3:_="">
    <xsd:import namespace="619bfd31-fbc9-4e3d-b639-5680fd0427c3"/>
    <xsd:import namespace="37bd234a-b872-4d8f-a05f-9ce9a06b0a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9bfd31-fbc9-4e3d-b639-5680fd0427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bd234a-b872-4d8f-a05f-9ce9a06b0a2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c2f415d-addf-4c52-9515-28e6f26a1ebf}" ma:internalName="TaxCatchAll" ma:showField="CatchAllData" ma:web="37bd234a-b872-4d8f-a05f-9ce9a06b0a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A021D7-EA7F-46DD-AD48-5861691E078E}">
  <ds:schemaRefs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elements/1.1/"/>
    <ds:schemaRef ds:uri="619bfd31-fbc9-4e3d-b639-5680fd0427c3"/>
    <ds:schemaRef ds:uri="http://schemas.microsoft.com/office/infopath/2007/PartnerControls"/>
    <ds:schemaRef ds:uri="37bd234a-b872-4d8f-a05f-9ce9a06b0a24"/>
    <ds:schemaRef ds:uri="http://schemas.openxmlformats.org/package/2006/metadata/core-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748E98C-71FF-4E5A-BAD7-3F9220D62A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F6E05F-13AA-425A-905B-6BF8E82F9A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9bfd31-fbc9-4e3d-b639-5680fd0427c3"/>
    <ds:schemaRef ds:uri="37bd234a-b872-4d8f-a05f-9ce9a06b0a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TS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Touchton</dc:creator>
  <cp:lastModifiedBy>Noah Touchton</cp:lastModifiedBy>
  <dcterms:created xsi:type="dcterms:W3CDTF">2025-09-16T03:22:33Z</dcterms:created>
  <dcterms:modified xsi:type="dcterms:W3CDTF">2025-10-30T17:48:42Z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0x010100445E206EC97B5241AE364FC742D190F1</vt:lpwstr>
  </property>
  <property fmtid="{D5CDD505-2E9C-101B-9397-08002B2CF9AE}" pid="3" name="MediaServiceImageTags">
    <vt:lpwstr/>
  </property>
</Properties>
</file>