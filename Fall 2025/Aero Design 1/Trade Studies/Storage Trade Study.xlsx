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 Design 1/Trade Studies/"/>
    </mc:Choice>
  </mc:AlternateContent>
  <xr:revisionPtr revIDLastSave="0" documentId="13_ncr:1_{5374EEA3-829D-D741-B910-46B838859FF2}" xr6:coauthVersionLast="47" xr6:coauthVersionMax="47" xr10:uidLastSave="{00000000-0000-0000-0000-000000000000}"/>
  <bookViews>
    <workbookView xWindow="4420" yWindow="820" windowWidth="27160" windowHeight="20960" xr2:uid="{CBE0DF9F-DDFE-4833-8F35-1B1A204C32DC}"/>
  </bookViews>
  <sheets>
    <sheet name="TS" sheetId="1" r:id="rId1"/>
    <sheet name="Instructio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1" l="1"/>
  <c r="T15" i="1" s="1"/>
  <c r="S14" i="1"/>
  <c r="T14" i="1" s="1"/>
  <c r="S13" i="1"/>
  <c r="T13" i="1" s="1"/>
  <c r="S12" i="1"/>
  <c r="T12" i="1" s="1"/>
  <c r="S11" i="1"/>
  <c r="T11" i="1" s="1"/>
  <c r="P15" i="1"/>
  <c r="Q15" i="1" s="1"/>
  <c r="P14" i="1"/>
  <c r="Q14" i="1" s="1"/>
  <c r="P13" i="1"/>
  <c r="Q13" i="1" s="1"/>
  <c r="P12" i="1"/>
  <c r="Q12" i="1" s="1"/>
  <c r="P11" i="1"/>
  <c r="Q11" i="1" s="1"/>
  <c r="M15" i="1"/>
  <c r="N15" i="1" s="1"/>
  <c r="M14" i="1"/>
  <c r="N14" i="1" s="1"/>
  <c r="M13" i="1"/>
  <c r="N13" i="1" s="1"/>
  <c r="M12" i="1"/>
  <c r="N12" i="1" s="1"/>
  <c r="M11" i="1"/>
  <c r="N11" i="1" s="1"/>
  <c r="J15" i="1"/>
  <c r="K15" i="1" s="1"/>
  <c r="J14" i="1"/>
  <c r="K14" i="1" s="1"/>
  <c r="J13" i="1"/>
  <c r="K13" i="1" s="1"/>
  <c r="J12" i="1"/>
  <c r="K12" i="1" s="1"/>
  <c r="J11" i="1"/>
  <c r="K11" i="1" s="1"/>
  <c r="G15" i="1"/>
  <c r="G14" i="1"/>
  <c r="G13" i="1"/>
  <c r="G12" i="1"/>
  <c r="G11" i="1"/>
  <c r="J19" i="2"/>
  <c r="K19" i="2" s="1"/>
  <c r="G19" i="2"/>
  <c r="G18" i="2"/>
  <c r="J18" i="2"/>
  <c r="K18" i="2" s="1"/>
  <c r="H18" i="2"/>
  <c r="H19" i="2"/>
  <c r="H20" i="2" l="1"/>
  <c r="K20" i="2"/>
  <c r="Q16" i="1"/>
  <c r="N16" i="1"/>
  <c r="T16" i="1"/>
  <c r="H13" i="1"/>
  <c r="H11" i="1"/>
  <c r="H12" i="1"/>
  <c r="H14" i="1"/>
  <c r="K16" i="1"/>
  <c r="H15" i="1"/>
  <c r="H16" i="1" l="1"/>
</calcChain>
</file>

<file path=xl/sharedStrings.xml><?xml version="1.0" encoding="utf-8"?>
<sst xmlns="http://schemas.openxmlformats.org/spreadsheetml/2006/main" count="77" uniqueCount="48">
  <si>
    <t>Part:</t>
  </si>
  <si>
    <t>Name:</t>
  </si>
  <si>
    <t>Subteam:</t>
  </si>
  <si>
    <t>Date:</t>
  </si>
  <si>
    <t>Name</t>
  </si>
  <si>
    <t>Trade Study</t>
  </si>
  <si>
    <t>Weight</t>
  </si>
  <si>
    <t>Units</t>
  </si>
  <si>
    <t>Mag.</t>
  </si>
  <si>
    <t>W. Score</t>
  </si>
  <si>
    <t>Uw. Score</t>
  </si>
  <si>
    <t>Design 1</t>
  </si>
  <si>
    <t>Overall Score</t>
  </si>
  <si>
    <t>Design 2</t>
  </si>
  <si>
    <t>Maximize?</t>
  </si>
  <si>
    <t>Y</t>
  </si>
  <si>
    <t>N</t>
  </si>
  <si>
    <t>Categories</t>
  </si>
  <si>
    <t>GUIDE</t>
  </si>
  <si>
    <t xml:space="preserve">A trade study helps you objectively decide on a design to use from a selection of designs. Given a set of quantitative values, a trade study assigns each design a score </t>
  </si>
  <si>
    <r>
      <t xml:space="preserve">For each design you are comparing, enter a magnitude for each category. The design's </t>
    </r>
    <r>
      <rPr>
        <i/>
        <sz val="11"/>
        <color theme="1"/>
        <rFont val="Aptos Narrow"/>
        <family val="2"/>
        <scheme val="minor"/>
      </rPr>
      <t>unweighted</t>
    </r>
    <r>
      <rPr>
        <sz val="11"/>
        <color theme="1"/>
        <rFont val="Aptos Narrow"/>
        <family val="2"/>
        <scheme val="minor"/>
      </rPr>
      <t xml:space="preserve"> score for that category is said magnitude divided by the sum of the magnitudes for that category across</t>
    </r>
  </si>
  <si>
    <r>
      <t xml:space="preserve">all designs. Its </t>
    </r>
    <r>
      <rPr>
        <i/>
        <sz val="11"/>
        <color theme="1"/>
        <rFont val="Aptos Narrow"/>
        <family val="2"/>
        <scheme val="minor"/>
      </rPr>
      <t>weighted</t>
    </r>
    <r>
      <rPr>
        <sz val="11"/>
        <color theme="1"/>
        <rFont val="Aptos Narrow"/>
        <family val="2"/>
        <scheme val="minor"/>
      </rPr>
      <t xml:space="preserve"> score is simply that the unweighted score multiplied by the category's weight. The total score of a design is the sum of all its weighted scores. Whichever design has</t>
    </r>
  </si>
  <si>
    <t>This Excel sheet also allows you to weight based on the minimum score. This process is identical to standard weighting except that in all places 1/magnitude is used instead of the magnitude. To enable this</t>
  </si>
  <si>
    <t>simply change the value of the "Maximize?" entry for the category of interest from "Y" to "N".</t>
  </si>
  <si>
    <t>the largest total score wins the trade study. For a few categories it is simpler to make the weights yourself (they must add up to 1). Otherwise use a binary decision matrix.</t>
  </si>
  <si>
    <t>If a category is instead  qualitative in nature, assign quantatative values using a rating scale. Common examples are 1-5 or 1-10 where higher numbers are better.</t>
  </si>
  <si>
    <t>Example: 2 categories 2 designs.</t>
  </si>
  <si>
    <t>mm</t>
  </si>
  <si>
    <t>kg</t>
  </si>
  <si>
    <t>Length</t>
  </si>
  <si>
    <t>Mass</t>
  </si>
  <si>
    <t>Let's evaluate two categories: length and mass. We give length a weighting of 0.75 and mass a weighting of 0.25. We then input the length and mass for both designs. The unweighted length score</t>
  </si>
  <si>
    <t>for design 1 is 117/(117 +134) and to weight it we just multiply it by 0.75. For mass score, it's different bcause "Maximize?" is set to "N" and so instead we do (1/5)/((1/5)+(1/3)) to get the unweighted</t>
  </si>
  <si>
    <t>score and then multiply by 0.25 to get the weighted score. We then repeat the process with design 2.</t>
  </si>
  <si>
    <t>To find the overall score of each design we simply sum their weighted scores. Design 2 has the larger overall score so it wins the trade study.</t>
  </si>
  <si>
    <t>(Group 4)</t>
  </si>
  <si>
    <t>Microcontroller</t>
  </si>
  <si>
    <t>Noah Touchton</t>
  </si>
  <si>
    <t>Communications</t>
  </si>
  <si>
    <t>Reliability</t>
  </si>
  <si>
    <t>eMMC (64 GB)</t>
  </si>
  <si>
    <t>microSD</t>
  </si>
  <si>
    <t>NOR Flash</t>
  </si>
  <si>
    <t>SSD</t>
  </si>
  <si>
    <t>Capacity Margin</t>
  </si>
  <si>
    <t>Power Consumption</t>
  </si>
  <si>
    <t>Ease of Integration</t>
  </si>
  <si>
    <t>MRAM Module (16–64 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</si>
</sst>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1">
    <xf numFmtId="0" fontId="0" fillId="0" borderId="0" xfId="0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4" borderId="1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/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/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2" borderId="1" xfId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9" xfId="0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florida.sharepoint.com/teams/LiquidPropulsionDevelopmentTeam/Shared%20Documents/General/25-26/Binary%20Decision%20Matrix%20Template.xlsx" TargetMode="External"/><Relationship Id="rId1" Type="http://schemas.openxmlformats.org/officeDocument/2006/relationships/externalLinkPath" Target="https://uflorida.sharepoint.com/teams/LiquidPropulsionDevelopmentTeam/Shared%20Documents/General/25-26/Binary%20Decision%20Matrix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M"/>
      <sheetName val="Instructio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02AA-4CFD-4C9C-A5EA-EC60A679F4CF}">
  <dimension ref="A1:T16"/>
  <sheetViews>
    <sheetView tabSelected="1" workbookViewId="0">
      <selection activeCell="R15" sqref="R15"/>
    </sheetView>
  </sheetViews>
  <sheetFormatPr baseColWidth="10" defaultColWidth="8.83203125" defaultRowHeight="15" x14ac:dyDescent="0.2"/>
  <cols>
    <col min="1" max="1" width="9.1640625" customWidth="1"/>
    <col min="2" max="2" width="24.83203125" customWidth="1"/>
    <col min="3" max="3" width="3" customWidth="1"/>
    <col min="4" max="5" width="14.5" customWidth="1"/>
    <col min="6" max="6" width="8.83203125" customWidth="1"/>
    <col min="7" max="7" width="10.1640625" customWidth="1"/>
    <col min="8" max="8" width="13.5" customWidth="1"/>
    <col min="13" max="13" width="13.83203125" customWidth="1"/>
    <col min="14" max="14" width="14.33203125" customWidth="1"/>
    <col min="15" max="15" width="10" customWidth="1"/>
  </cols>
  <sheetData>
    <row r="1" spans="1:20" x14ac:dyDescent="0.2">
      <c r="A1" s="1" t="s">
        <v>0</v>
      </c>
      <c r="B1" s="31" t="s">
        <v>36</v>
      </c>
      <c r="C1" s="32"/>
    </row>
    <row r="2" spans="1:20" x14ac:dyDescent="0.2">
      <c r="A2" s="2" t="s">
        <v>1</v>
      </c>
      <c r="B2" s="33" t="s">
        <v>37</v>
      </c>
      <c r="C2" s="34"/>
    </row>
    <row r="3" spans="1:20" x14ac:dyDescent="0.2">
      <c r="A3" s="2" t="s">
        <v>2</v>
      </c>
      <c r="B3" s="33" t="s">
        <v>38</v>
      </c>
      <c r="C3" s="34"/>
    </row>
    <row r="4" spans="1:20" x14ac:dyDescent="0.2">
      <c r="A4" s="3" t="s">
        <v>3</v>
      </c>
      <c r="B4" s="35">
        <v>45916</v>
      </c>
      <c r="C4" s="36"/>
    </row>
    <row r="5" spans="1:20" ht="16" thickBot="1" x14ac:dyDescent="0.25">
      <c r="A5" s="37" t="s">
        <v>5</v>
      </c>
      <c r="B5" s="38"/>
      <c r="C5" s="4" t="s">
        <v>35</v>
      </c>
    </row>
    <row r="8" spans="1:20" ht="16" thickBot="1" x14ac:dyDescent="0.25">
      <c r="B8" s="11"/>
      <c r="C8" s="11"/>
      <c r="D8" s="11"/>
      <c r="E8" s="11"/>
    </row>
    <row r="9" spans="1:20" ht="16" thickBot="1" x14ac:dyDescent="0.25">
      <c r="A9" s="7"/>
      <c r="B9" s="38" t="s">
        <v>17</v>
      </c>
      <c r="C9" s="38"/>
      <c r="D9" s="38"/>
      <c r="E9" s="54"/>
      <c r="F9" s="48" t="s">
        <v>40</v>
      </c>
      <c r="G9" s="49"/>
      <c r="H9" s="50"/>
      <c r="I9" s="45" t="s">
        <v>41</v>
      </c>
      <c r="J9" s="46"/>
      <c r="K9" s="47"/>
      <c r="L9" s="48" t="s">
        <v>42</v>
      </c>
      <c r="M9" s="49"/>
      <c r="N9" s="50"/>
      <c r="O9" s="51" t="s">
        <v>43</v>
      </c>
      <c r="P9" s="52"/>
      <c r="Q9" s="53"/>
      <c r="R9" s="48" t="s">
        <v>47</v>
      </c>
      <c r="S9" s="49"/>
      <c r="T9" s="50"/>
    </row>
    <row r="10" spans="1:20" x14ac:dyDescent="0.2">
      <c r="B10" s="39" t="s">
        <v>4</v>
      </c>
      <c r="C10" s="40"/>
      <c r="D10" s="16" t="s">
        <v>6</v>
      </c>
      <c r="E10" s="19" t="s">
        <v>14</v>
      </c>
      <c r="F10" s="17" t="s">
        <v>8</v>
      </c>
      <c r="G10" s="18" t="s">
        <v>10</v>
      </c>
      <c r="H10" s="12" t="s">
        <v>9</v>
      </c>
      <c r="I10" s="17" t="s">
        <v>8</v>
      </c>
      <c r="J10" s="18" t="s">
        <v>10</v>
      </c>
      <c r="K10" s="12" t="s">
        <v>9</v>
      </c>
      <c r="L10" s="17" t="s">
        <v>8</v>
      </c>
      <c r="M10" s="18" t="s">
        <v>10</v>
      </c>
      <c r="N10" s="12" t="s">
        <v>9</v>
      </c>
      <c r="O10" s="17" t="s">
        <v>8</v>
      </c>
      <c r="P10" s="18" t="s">
        <v>10</v>
      </c>
      <c r="Q10" s="12" t="s">
        <v>9</v>
      </c>
      <c r="R10" s="17" t="s">
        <v>8</v>
      </c>
      <c r="S10" s="18" t="s">
        <v>10</v>
      </c>
      <c r="T10" s="12" t="s">
        <v>9</v>
      </c>
    </row>
    <row r="11" spans="1:20" x14ac:dyDescent="0.2">
      <c r="B11" s="41" t="s">
        <v>44</v>
      </c>
      <c r="C11" s="42"/>
      <c r="D11" s="23">
        <v>25</v>
      </c>
      <c r="E11" s="10" t="s">
        <v>15</v>
      </c>
      <c r="F11" s="5">
        <v>5</v>
      </c>
      <c r="G11" s="24">
        <f t="shared" ref="G11:G12" si="0">IF($E11="Y", F11/SUM($F11,$I11,$L11,$O11,$R11), (1/F11)/SUM(1/$F11,1/$I11,1/$L11,1/$O11,1/$R11))</f>
        <v>0.27777777777777779</v>
      </c>
      <c r="H11" s="10">
        <f>G11*$D11</f>
        <v>6.9444444444444446</v>
      </c>
      <c r="I11" s="5">
        <v>5</v>
      </c>
      <c r="J11" s="24">
        <f t="shared" ref="J11:J12" si="1">IF($E11="Y", I11/SUM($F11,$I11,$L11,$O11,$R11), (1/I11)/SUM(1/$F11,1/$I11,1/$L11,1/$O11,1/$R11))</f>
        <v>0.27777777777777779</v>
      </c>
      <c r="K11" s="10">
        <f>J11*$D11</f>
        <v>6.9444444444444446</v>
      </c>
      <c r="L11" s="5">
        <v>2</v>
      </c>
      <c r="M11" s="24">
        <f t="shared" ref="M11:M12" si="2">IF($E11="Y", L11/SUM($F11,$I11,$L11,$O11,$R11), (1/L11)/SUM(1/$F11,1/$I11,1/$L11,1/$O11,1/$R11))</f>
        <v>0.1111111111111111</v>
      </c>
      <c r="N11" s="10">
        <f>M11*$D11</f>
        <v>2.7777777777777777</v>
      </c>
      <c r="O11" s="5">
        <v>5</v>
      </c>
      <c r="P11" s="24">
        <f t="shared" ref="P11:P12" si="3">IF($E11="Y", O11/SUM($F11,$I11,$L11,$O11,$R11), (1/O11)/SUM(1/$F11,1/$I11,1/$L11,1/$O11,1/$R11))</f>
        <v>0.27777777777777779</v>
      </c>
      <c r="Q11" s="10">
        <f>P11*$D11</f>
        <v>6.9444444444444446</v>
      </c>
      <c r="R11" s="5">
        <v>1</v>
      </c>
      <c r="S11" s="24">
        <f t="shared" ref="S11:S12" si="4">IF($E11="Y", R11/SUM($F11,$I11,$L11,$O11,$R11), (1/R11)/SUM(1/$F11,1/$I11,1/$L11,1/$O11,1/$R11))</f>
        <v>5.5555555555555552E-2</v>
      </c>
      <c r="T11" s="10">
        <f>S11*$D11</f>
        <v>1.3888888888888888</v>
      </c>
    </row>
    <row r="12" spans="1:20" x14ac:dyDescent="0.2">
      <c r="B12" s="43" t="s">
        <v>45</v>
      </c>
      <c r="C12" s="44"/>
      <c r="D12" s="23">
        <v>20</v>
      </c>
      <c r="E12" s="10" t="s">
        <v>15</v>
      </c>
      <c r="F12" s="5">
        <v>4</v>
      </c>
      <c r="G12" s="24">
        <f t="shared" si="0"/>
        <v>0.21052631578947367</v>
      </c>
      <c r="H12" s="10">
        <f t="shared" ref="H12:H15" si="5">G12*$D12</f>
        <v>4.2105263157894735</v>
      </c>
      <c r="I12" s="5">
        <v>3</v>
      </c>
      <c r="J12" s="24">
        <f t="shared" si="1"/>
        <v>0.15789473684210525</v>
      </c>
      <c r="K12" s="10">
        <f t="shared" ref="K12:K15" si="6">J12*$D12</f>
        <v>3.1578947368421053</v>
      </c>
      <c r="L12" s="5">
        <v>5</v>
      </c>
      <c r="M12" s="24">
        <f t="shared" si="2"/>
        <v>0.26315789473684209</v>
      </c>
      <c r="N12" s="10">
        <f t="shared" ref="N12:N15" si="7">M12*$D12</f>
        <v>5.2631578947368416</v>
      </c>
      <c r="O12" s="5">
        <v>2</v>
      </c>
      <c r="P12" s="24">
        <f t="shared" si="3"/>
        <v>0.10526315789473684</v>
      </c>
      <c r="Q12" s="10">
        <f t="shared" ref="Q12:Q15" si="8">P12*$D12</f>
        <v>2.1052631578947367</v>
      </c>
      <c r="R12" s="5">
        <v>5</v>
      </c>
      <c r="S12" s="24">
        <f t="shared" si="4"/>
        <v>0.26315789473684209</v>
      </c>
      <c r="T12" s="10">
        <f t="shared" ref="T12:T15" si="9">S12*$D12</f>
        <v>5.2631578947368416</v>
      </c>
    </row>
    <row r="13" spans="1:20" x14ac:dyDescent="0.2">
      <c r="B13" s="43" t="s">
        <v>30</v>
      </c>
      <c r="C13" s="44"/>
      <c r="D13" s="23">
        <v>15</v>
      </c>
      <c r="E13" s="10" t="s">
        <v>15</v>
      </c>
      <c r="F13" s="5">
        <v>5</v>
      </c>
      <c r="G13" s="24">
        <f t="shared" ref="G13:G15" si="10">IF($E13="Y", F13/SUM($F13,$I13,$L13,$O13,$R13), (1/F13)/SUM(1/$F13,1/$I13,1/$L13,1/$O13,1/$R13))</f>
        <v>0.25</v>
      </c>
      <c r="H13" s="10">
        <f t="shared" si="5"/>
        <v>3.75</v>
      </c>
      <c r="I13" s="5">
        <v>4</v>
      </c>
      <c r="J13" s="24">
        <f t="shared" ref="J13:J15" si="11">IF($E13="Y", I13/SUM($F13,$I13,$L13,$O13,$R13), (1/I13)/SUM(1/$F13,1/$I13,1/$L13,1/$O13,1/$R13))</f>
        <v>0.2</v>
      </c>
      <c r="K13" s="10">
        <f t="shared" si="6"/>
        <v>3</v>
      </c>
      <c r="L13" s="5">
        <v>4</v>
      </c>
      <c r="M13" s="24">
        <f t="shared" ref="M13:M15" si="12">IF($E13="Y", L13/SUM($F13,$I13,$L13,$O13,$R13), (1/L13)/SUM(1/$F13,1/$I13,1/$L13,1/$O13,1/$R13))</f>
        <v>0.2</v>
      </c>
      <c r="N13" s="10">
        <f t="shared" si="7"/>
        <v>3</v>
      </c>
      <c r="O13" s="5">
        <v>2</v>
      </c>
      <c r="P13" s="24">
        <f t="shared" ref="P13:P15" si="13">IF($E13="Y", O13/SUM($F13,$I13,$L13,$O13,$R13), (1/O13)/SUM(1/$F13,1/$I13,1/$L13,1/$O13,1/$R13))</f>
        <v>0.1</v>
      </c>
      <c r="Q13" s="10">
        <f t="shared" si="8"/>
        <v>1.5</v>
      </c>
      <c r="R13" s="5">
        <v>5</v>
      </c>
      <c r="S13" s="24">
        <f t="shared" ref="S13:S15" si="14">IF($E13="Y", R13/SUM($F13,$I13,$L13,$O13,$R13), (1/R13)/SUM(1/$F13,1/$I13,1/$L13,1/$O13,1/$R13))</f>
        <v>0.25</v>
      </c>
      <c r="T13" s="10">
        <f t="shared" si="9"/>
        <v>3.75</v>
      </c>
    </row>
    <row r="14" spans="1:20" x14ac:dyDescent="0.2">
      <c r="B14" s="43" t="s">
        <v>39</v>
      </c>
      <c r="C14" s="44"/>
      <c r="D14" s="23">
        <v>25</v>
      </c>
      <c r="E14" s="10" t="s">
        <v>15</v>
      </c>
      <c r="F14" s="5">
        <v>4</v>
      </c>
      <c r="G14" s="24">
        <f t="shared" si="10"/>
        <v>0.23529411764705882</v>
      </c>
      <c r="H14" s="10">
        <f t="shared" si="5"/>
        <v>5.8823529411764701</v>
      </c>
      <c r="I14" s="5">
        <v>2</v>
      </c>
      <c r="J14" s="24">
        <f t="shared" si="11"/>
        <v>0.11764705882352941</v>
      </c>
      <c r="K14" s="10">
        <f t="shared" si="6"/>
        <v>2.9411764705882351</v>
      </c>
      <c r="L14" s="5">
        <v>5</v>
      </c>
      <c r="M14" s="24">
        <f t="shared" si="12"/>
        <v>0.29411764705882354</v>
      </c>
      <c r="N14" s="10">
        <f t="shared" si="7"/>
        <v>7.3529411764705888</v>
      </c>
      <c r="O14" s="5">
        <v>3</v>
      </c>
      <c r="P14" s="24">
        <f t="shared" si="13"/>
        <v>0.17647058823529413</v>
      </c>
      <c r="Q14" s="10">
        <f t="shared" si="8"/>
        <v>4.4117647058823533</v>
      </c>
      <c r="R14" s="5">
        <v>3</v>
      </c>
      <c r="S14" s="24">
        <f t="shared" si="14"/>
        <v>0.17647058823529413</v>
      </c>
      <c r="T14" s="10">
        <f t="shared" si="9"/>
        <v>4.4117647058823533</v>
      </c>
    </row>
    <row r="15" spans="1:20" ht="16" thickBot="1" x14ac:dyDescent="0.25">
      <c r="B15" s="43" t="s">
        <v>46</v>
      </c>
      <c r="C15" s="44"/>
      <c r="D15" s="23">
        <v>15</v>
      </c>
      <c r="E15" s="10" t="s">
        <v>15</v>
      </c>
      <c r="F15" s="5">
        <v>4</v>
      </c>
      <c r="G15" s="24">
        <f t="shared" si="10"/>
        <v>0.23529411764705882</v>
      </c>
      <c r="H15" s="10">
        <f t="shared" si="5"/>
        <v>3.5294117647058822</v>
      </c>
      <c r="I15" s="5">
        <v>5</v>
      </c>
      <c r="J15" s="24">
        <f t="shared" si="11"/>
        <v>0.29411764705882354</v>
      </c>
      <c r="K15" s="10">
        <f t="shared" si="6"/>
        <v>4.4117647058823533</v>
      </c>
      <c r="L15" s="5">
        <v>2</v>
      </c>
      <c r="M15" s="24">
        <f t="shared" si="12"/>
        <v>0.11764705882352941</v>
      </c>
      <c r="N15" s="10">
        <f t="shared" si="7"/>
        <v>1.7647058823529411</v>
      </c>
      <c r="O15" s="5">
        <v>3</v>
      </c>
      <c r="P15" s="24">
        <f t="shared" si="13"/>
        <v>0.17647058823529413</v>
      </c>
      <c r="Q15" s="10">
        <f t="shared" si="8"/>
        <v>2.6470588235294121</v>
      </c>
      <c r="R15" s="5">
        <v>3</v>
      </c>
      <c r="S15" s="24">
        <f t="shared" si="14"/>
        <v>0.17647058823529413</v>
      </c>
      <c r="T15" s="10">
        <f t="shared" si="9"/>
        <v>2.6470588235294121</v>
      </c>
    </row>
    <row r="16" spans="1:20" ht="17" thickTop="1" thickBot="1" x14ac:dyDescent="0.25">
      <c r="B16" s="28" t="s">
        <v>12</v>
      </c>
      <c r="C16" s="29"/>
      <c r="D16" s="29"/>
      <c r="E16" s="30"/>
      <c r="F16" s="13"/>
      <c r="G16" s="14"/>
      <c r="H16" s="27">
        <f>SUM(H11:H15)</f>
        <v>24.31673546611627</v>
      </c>
      <c r="I16" s="13"/>
      <c r="J16" s="14"/>
      <c r="K16" s="27">
        <f>SUM(K11:K15)</f>
        <v>20.45528035775714</v>
      </c>
      <c r="L16" s="13"/>
      <c r="M16" s="14"/>
      <c r="N16" s="27">
        <f>SUM(N11:N15)</f>
        <v>20.15858273133815</v>
      </c>
      <c r="O16" s="13"/>
      <c r="P16" s="14"/>
      <c r="Q16" s="27">
        <f>SUM(Q11:Q15)</f>
        <v>17.608531131750947</v>
      </c>
      <c r="R16" s="13"/>
      <c r="S16" s="14"/>
      <c r="T16" s="27">
        <f>SUM(T11:T15)</f>
        <v>17.460870313037496</v>
      </c>
    </row>
  </sheetData>
  <mergeCells count="18">
    <mergeCell ref="I9:K9"/>
    <mergeCell ref="L9:N9"/>
    <mergeCell ref="O9:Q9"/>
    <mergeCell ref="R9:T9"/>
    <mergeCell ref="B9:E9"/>
    <mergeCell ref="F9:H9"/>
    <mergeCell ref="B16:E16"/>
    <mergeCell ref="B1:C1"/>
    <mergeCell ref="B2:C2"/>
    <mergeCell ref="B3:C3"/>
    <mergeCell ref="B4:C4"/>
    <mergeCell ref="A5:B5"/>
    <mergeCell ref="B10:C10"/>
    <mergeCell ref="B11:C11"/>
    <mergeCell ref="B12:C12"/>
    <mergeCell ref="B13:C13"/>
    <mergeCell ref="B14:C14"/>
    <mergeCell ref="B15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BE7C-5C9C-4832-909A-18821EF79075}">
  <dimension ref="A1:K22"/>
  <sheetViews>
    <sheetView workbookViewId="0">
      <selection activeCell="B23" sqref="B23"/>
    </sheetView>
  </sheetViews>
  <sheetFormatPr baseColWidth="10" defaultColWidth="8.83203125" defaultRowHeight="15" x14ac:dyDescent="0.2"/>
  <sheetData>
    <row r="1" spans="1:11" x14ac:dyDescent="0.2">
      <c r="A1" s="20" t="s">
        <v>18</v>
      </c>
    </row>
    <row r="2" spans="1:11" x14ac:dyDescent="0.2">
      <c r="A2" t="s">
        <v>19</v>
      </c>
    </row>
    <row r="4" spans="1:11" x14ac:dyDescent="0.2">
      <c r="A4" t="s">
        <v>20</v>
      </c>
    </row>
    <row r="5" spans="1:11" x14ac:dyDescent="0.2">
      <c r="B5" t="s">
        <v>21</v>
      </c>
    </row>
    <row r="6" spans="1:11" x14ac:dyDescent="0.2">
      <c r="B6" t="s">
        <v>24</v>
      </c>
    </row>
    <row r="7" spans="1:11" x14ac:dyDescent="0.2">
      <c r="A7" t="s">
        <v>22</v>
      </c>
    </row>
    <row r="8" spans="1:11" x14ac:dyDescent="0.2">
      <c r="B8" t="s">
        <v>23</v>
      </c>
    </row>
    <row r="9" spans="1:11" x14ac:dyDescent="0.2">
      <c r="A9" t="s">
        <v>25</v>
      </c>
    </row>
    <row r="11" spans="1:11" x14ac:dyDescent="0.2">
      <c r="A11" s="21" t="s">
        <v>26</v>
      </c>
    </row>
    <row r="12" spans="1:11" x14ac:dyDescent="0.2">
      <c r="B12" s="21" t="s">
        <v>31</v>
      </c>
      <c r="C12" s="21"/>
      <c r="D12" s="21"/>
      <c r="E12" s="21"/>
      <c r="F12" s="21"/>
      <c r="G12" s="21"/>
      <c r="H12" s="21"/>
      <c r="I12" s="21"/>
      <c r="J12" s="21"/>
    </row>
    <row r="13" spans="1:11" x14ac:dyDescent="0.2">
      <c r="B13" s="21" t="s">
        <v>32</v>
      </c>
      <c r="C13" s="21"/>
      <c r="D13" s="21"/>
      <c r="E13" s="21"/>
      <c r="F13" s="21"/>
      <c r="G13" s="21"/>
      <c r="H13" s="21"/>
      <c r="I13" s="21"/>
      <c r="J13" s="21"/>
    </row>
    <row r="14" spans="1:11" x14ac:dyDescent="0.2">
      <c r="B14" s="21" t="s">
        <v>33</v>
      </c>
      <c r="C14" s="21"/>
      <c r="D14" s="21"/>
      <c r="E14" s="21"/>
      <c r="F14" s="21"/>
      <c r="G14" s="21"/>
      <c r="H14" s="21"/>
      <c r="I14" s="21"/>
      <c r="J14" s="21"/>
    </row>
    <row r="15" spans="1:11" ht="16" thickBot="1" x14ac:dyDescent="0.25"/>
    <row r="16" spans="1:11" ht="16" thickBot="1" x14ac:dyDescent="0.25">
      <c r="B16" s="55" t="s">
        <v>17</v>
      </c>
      <c r="C16" s="56"/>
      <c r="D16" s="56"/>
      <c r="E16" s="57"/>
      <c r="F16" s="58" t="s">
        <v>11</v>
      </c>
      <c r="G16" s="59"/>
      <c r="H16" s="60"/>
      <c r="I16" s="45" t="s">
        <v>13</v>
      </c>
      <c r="J16" s="46"/>
      <c r="K16" s="47"/>
    </row>
    <row r="17" spans="2:11" x14ac:dyDescent="0.2">
      <c r="B17" s="8" t="s">
        <v>4</v>
      </c>
      <c r="C17" s="16" t="s">
        <v>7</v>
      </c>
      <c r="D17" s="16" t="s">
        <v>6</v>
      </c>
      <c r="E17" s="19" t="s">
        <v>14</v>
      </c>
      <c r="F17" s="17" t="s">
        <v>8</v>
      </c>
      <c r="G17" s="18" t="s">
        <v>10</v>
      </c>
      <c r="H17" s="12" t="s">
        <v>9</v>
      </c>
      <c r="I17" s="17" t="s">
        <v>8</v>
      </c>
      <c r="J17" s="18" t="s">
        <v>10</v>
      </c>
      <c r="K17" s="12" t="s">
        <v>9</v>
      </c>
    </row>
    <row r="18" spans="2:11" x14ac:dyDescent="0.2">
      <c r="B18" s="9" t="s">
        <v>29</v>
      </c>
      <c r="C18" s="22" t="s">
        <v>27</v>
      </c>
      <c r="D18" s="23">
        <v>0.75</v>
      </c>
      <c r="E18" s="10" t="s">
        <v>15</v>
      </c>
      <c r="F18" s="5">
        <v>117</v>
      </c>
      <c r="G18" s="24">
        <f>134/(117+134)</f>
        <v>0.53386454183266929</v>
      </c>
      <c r="H18" s="10">
        <f>G18*$D18</f>
        <v>0.40039840637450197</v>
      </c>
      <c r="I18" s="5">
        <v>134</v>
      </c>
      <c r="J18" s="24">
        <f>IF($E18="Y", I18/SUM($G18,$I18,[1]Instructions!$L20,[1]Instructions!$O20,[1]Instructions!$R20), (1/I18)/SUM(1/$G18,1/$I18,1/[1]Instructions!$L20,1/[1]Instructions!$O20,1/[1]Instructions!$R20))</f>
        <v>0.99603174603174616</v>
      </c>
      <c r="K18" s="10">
        <f>J18*$D18</f>
        <v>0.74702380952380965</v>
      </c>
    </row>
    <row r="19" spans="2:11" ht="16" thickBot="1" x14ac:dyDescent="0.25">
      <c r="B19" s="6" t="s">
        <v>30</v>
      </c>
      <c r="C19" s="25" t="s">
        <v>28</v>
      </c>
      <c r="D19" s="26">
        <v>0.25</v>
      </c>
      <c r="E19" s="15" t="s">
        <v>16</v>
      </c>
      <c r="F19" s="6">
        <v>5</v>
      </c>
      <c r="G19" s="25">
        <f>1/5 / (1/5 + 1/3)</f>
        <v>0.375</v>
      </c>
      <c r="H19" s="15">
        <f>G19*$D19</f>
        <v>9.375E-2</v>
      </c>
      <c r="I19" s="6">
        <v>3</v>
      </c>
      <c r="J19" s="25">
        <f>1/3 / (1/5 + 1/3)</f>
        <v>0.625</v>
      </c>
      <c r="K19" s="15">
        <f>J19*$D19</f>
        <v>0.15625</v>
      </c>
    </row>
    <row r="20" spans="2:11" ht="17" thickTop="1" thickBot="1" x14ac:dyDescent="0.25">
      <c r="B20" s="28" t="s">
        <v>12</v>
      </c>
      <c r="C20" s="29"/>
      <c r="D20" s="29"/>
      <c r="E20" s="30"/>
      <c r="F20" s="13"/>
      <c r="G20" s="14"/>
      <c r="H20" s="27">
        <f>SUM(H16:H19)</f>
        <v>0.49414840637450197</v>
      </c>
      <c r="I20" s="13"/>
      <c r="J20" s="14"/>
      <c r="K20" s="27">
        <f>SUM(K16:K19)</f>
        <v>0.90327380952380965</v>
      </c>
    </row>
    <row r="22" spans="2:11" x14ac:dyDescent="0.2">
      <c r="B22" s="21" t="s">
        <v>34</v>
      </c>
    </row>
  </sheetData>
  <mergeCells count="4">
    <mergeCell ref="B20:E20"/>
    <mergeCell ref="B16:E16"/>
    <mergeCell ref="F16:H16"/>
    <mergeCell ref="I16:K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bd234a-b872-4d8f-a05f-9ce9a06b0a24" xsi:nil="true"/>
    <lcf76f155ced4ddcb4097134ff3c332f xmlns="619bfd31-fbc9-4e3d-b639-5680fd0427c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E206EC97B5241AE364FC742D190F1" ma:contentTypeVersion="18" ma:contentTypeDescription="Create a new document." ma:contentTypeScope="" ma:versionID="8284591227d7a4ff90c48262bf6356f1">
  <xsd:schema xmlns:xsd="http://www.w3.org/2001/XMLSchema" xmlns:xs="http://www.w3.org/2001/XMLSchema" xmlns:p="http://schemas.microsoft.com/office/2006/metadata/properties" xmlns:ns2="619bfd31-fbc9-4e3d-b639-5680fd0427c3" xmlns:ns3="37bd234a-b872-4d8f-a05f-9ce9a06b0a24" targetNamespace="http://schemas.microsoft.com/office/2006/metadata/properties" ma:root="true" ma:fieldsID="b29a3fb53242aaf6387bf4e700398a19" ns2:_="" ns3:_="">
    <xsd:import namespace="619bfd31-fbc9-4e3d-b639-5680fd0427c3"/>
    <xsd:import namespace="37bd234a-b872-4d8f-a05f-9ce9a06b0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bfd31-fbc9-4e3d-b639-5680fd042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d234a-b872-4d8f-a05f-9ce9a06b0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c2f415d-addf-4c52-9515-28e6f26a1ebf}" ma:internalName="TaxCatchAll" ma:showField="CatchAllData" ma:web="37bd234a-b872-4d8f-a05f-9ce9a06b0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48E98C-71FF-4E5A-BAD7-3F9220D62A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A021D7-EA7F-46DD-AD48-5861691E078E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619bfd31-fbc9-4e3d-b639-5680fd0427c3"/>
    <ds:schemaRef ds:uri="http://schemas.microsoft.com/office/infopath/2007/PartnerControls"/>
    <ds:schemaRef ds:uri="37bd234a-b872-4d8f-a05f-9ce9a06b0a24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5F6E05F-13AA-425A-905B-6BF8E82F9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9bfd31-fbc9-4e3d-b639-5680fd0427c3"/>
    <ds:schemaRef ds:uri="37bd234a-b872-4d8f-a05f-9ce9a06b0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Hirsch, Nicholas</dc:creator>
  <cp:lastModifiedBy>Noah Touchton</cp:lastModifiedBy>
  <dcterms:created xsi:type="dcterms:W3CDTF">2025-09-16T03:22:33Z</dcterms:created>
  <dcterms:modified xsi:type="dcterms:W3CDTF">2025-10-03T05:26:47Z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0x010100445E206EC97B5241AE364FC742D190F1</vt:lpwstr>
  </property>
  <property fmtid="{D5CDD505-2E9C-101B-9397-08002B2CF9AE}" pid="3" name="MediaServiceImageTags">
    <vt:lpwstr/>
  </property>
</Properties>
</file>