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ahtouchton/School_Git/School/Fall 2025/Aero Design 1/Trade Studies/"/>
    </mc:Choice>
  </mc:AlternateContent>
  <xr:revisionPtr revIDLastSave="0" documentId="13_ncr:1_{E5237F53-45CF-9F4F-A5B1-3155190ED278}" xr6:coauthVersionLast="47" xr6:coauthVersionMax="47" xr10:uidLastSave="{00000000-0000-0000-0000-000000000000}"/>
  <bookViews>
    <workbookView xWindow="4420" yWindow="800" windowWidth="27160" windowHeight="2096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T19" i="1" s="1"/>
  <c r="S18" i="1"/>
  <c r="T18" i="1" s="1"/>
  <c r="S17" i="1"/>
  <c r="T17" i="1" s="1"/>
  <c r="S16" i="1"/>
  <c r="T16" i="1" s="1"/>
  <c r="S15" i="1"/>
  <c r="T15" i="1" s="1"/>
  <c r="S14" i="1"/>
  <c r="T14" i="1" s="1"/>
  <c r="S13" i="1"/>
  <c r="T13" i="1" s="1"/>
  <c r="S12" i="1"/>
  <c r="T12" i="1" s="1"/>
  <c r="S11" i="1"/>
  <c r="T11" i="1" s="1"/>
  <c r="P19" i="1"/>
  <c r="Q19" i="1" s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M19" i="1"/>
  <c r="N19" i="1" s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N12" i="1" s="1"/>
  <c r="M11" i="1"/>
  <c r="N11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G19" i="1"/>
  <c r="G18" i="1"/>
  <c r="G17" i="1"/>
  <c r="G16" i="1"/>
  <c r="G15" i="1"/>
  <c r="G14" i="1"/>
  <c r="G13" i="1"/>
  <c r="G12" i="1"/>
  <c r="G11" i="1"/>
  <c r="J19" i="2"/>
  <c r="K19" i="2" s="1"/>
  <c r="G19" i="2"/>
  <c r="G18" i="2"/>
  <c r="J18" i="2"/>
  <c r="K18" i="2" s="1"/>
  <c r="H18" i="2"/>
  <c r="H19" i="2"/>
  <c r="H20" i="2" l="1"/>
  <c r="K20" i="2"/>
  <c r="Q20" i="1"/>
  <c r="N20" i="1"/>
  <c r="T20" i="1"/>
  <c r="H13" i="1"/>
  <c r="H18" i="1"/>
  <c r="H11" i="1"/>
  <c r="H12" i="1"/>
  <c r="H14" i="1"/>
  <c r="H19" i="1"/>
  <c r="K20" i="1"/>
  <c r="H17" i="1"/>
  <c r="H15" i="1"/>
  <c r="H16" i="1"/>
  <c r="H20" i="1" l="1"/>
</calcChain>
</file>

<file path=xl/sharedStrings.xml><?xml version="1.0" encoding="utf-8"?>
<sst xmlns="http://schemas.openxmlformats.org/spreadsheetml/2006/main" count="85" uniqueCount="53">
  <si>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</si>
  <si>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</si>
  <si>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</si>
  <si>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</si>
  <si>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</si>
  <si>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</si>
  <si>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</si>
  <si>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</si>
  <si>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</si>
  <si>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</si>
  <si>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</si>
  <si>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</si>
  <si>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</si>
  <si>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</si>
  <si>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</si>
  <si>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</si>
  <si>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</si>
  <si>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</si>
  <si>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</si>
  <si>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</si>
  <si>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</si>
  <si>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</si>
  <si>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</si>
  <si>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</si>
  <si>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</si>
  <si>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</si>
  <si>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</si>
  <si>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</si>
  <si>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</si>
  <si>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</si>
  <si>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</si>
  <si>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</si>
  <si>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</si>
  <si>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</si>
  <si>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</si>
  <si>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</si>
  <si>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</si>
  <si>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</si>
  <si>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</si>
  <si>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Reliability</t>
  </si>
  <si>
    <t>Compute performance</t>
  </si>
  <si>
    <t>Interfaces &amp; I/O</t>
  </si>
  <si>
    <t>Memory &amp; storage</t>
  </si>
  <si>
    <t>RTOS &amp; driver support</t>
  </si>
  <si>
    <t>Power efficiency</t>
  </si>
  <si>
    <t>Dev ecosystem/tooling</t>
  </si>
  <si>
    <t>Cost &amp; lead time</t>
  </si>
  <si>
    <t>Form factor/integration</t>
  </si>
  <si>
    <t>STM32H7 (Cortex-M7 @ 400–480 MHz)</t>
  </si>
  <si>
    <t>STM32L5 (Cortex-M33 low-power)</t>
  </si>
  <si>
    <t>Microchip SAMRH71 (rad-tolerant M7)</t>
  </si>
  <si>
    <t>Teensy 4.1 (i.MX RT1062, 600 MHz)</t>
  </si>
  <si>
    <t>ESP32-S3 (dual-core Wi-Fi/BLE)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</si>
</sst>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3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0" fillId="0" borderId="11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T20"/>
  <sheetViews>
    <sheetView tabSelected="1" workbookViewId="0">
      <selection activeCell="B9" sqref="B9:T20"/>
    </sheetView>
  </sheetViews>
  <sheetFormatPr baseColWidth="10" defaultColWidth="8.83203125" defaultRowHeight="15" x14ac:dyDescent="0.2"/>
  <cols>
    <col min="1" max="1" width="9.1640625" customWidth="1"/>
    <col min="2" max="2" width="24.83203125" customWidth="1"/>
    <col min="3" max="3" width="3" customWidth="1"/>
    <col min="4" max="5" width="14.5" customWidth="1"/>
    <col min="6" max="6" width="8.83203125" customWidth="1"/>
    <col min="7" max="7" width="10.1640625" customWidth="1"/>
    <col min="8" max="8" width="13.5" customWidth="1"/>
    <col min="13" max="13" width="13.83203125" customWidth="1"/>
    <col min="14" max="14" width="14.33203125" customWidth="1"/>
    <col min="15" max="15" width="10" customWidth="1"/>
  </cols>
  <sheetData>
    <row r="1" spans="1:20" x14ac:dyDescent="0.2">
      <c r="A1" s="1" t="s">
        <v>0</v>
      </c>
      <c r="B1" s="44" t="s">
        <v>36</v>
      </c>
      <c r="C1" s="45"/>
    </row>
    <row r="2" spans="1:20" x14ac:dyDescent="0.2">
      <c r="A2" s="2" t="s">
        <v>1</v>
      </c>
      <c r="B2" s="46" t="s">
        <v>37</v>
      </c>
      <c r="C2" s="47"/>
    </row>
    <row r="3" spans="1:20" x14ac:dyDescent="0.2">
      <c r="A3" s="2" t="s">
        <v>2</v>
      </c>
      <c r="B3" s="46" t="s">
        <v>38</v>
      </c>
      <c r="C3" s="47"/>
    </row>
    <row r="4" spans="1:20" x14ac:dyDescent="0.2">
      <c r="A4" s="3" t="s">
        <v>3</v>
      </c>
      <c r="B4" s="48">
        <v>45916</v>
      </c>
      <c r="C4" s="49"/>
    </row>
    <row r="5" spans="1:20" ht="16" thickBot="1" x14ac:dyDescent="0.25">
      <c r="A5" s="50" t="s">
        <v>5</v>
      </c>
      <c r="B5" s="39"/>
      <c r="C5" s="4" t="s">
        <v>35</v>
      </c>
    </row>
    <row r="8" spans="1:20" ht="16" thickBot="1" x14ac:dyDescent="0.25">
      <c r="B8" s="11"/>
      <c r="C8" s="11"/>
      <c r="D8" s="11"/>
      <c r="E8" s="11"/>
    </row>
    <row r="9" spans="1:20" ht="16" thickBot="1" x14ac:dyDescent="0.25">
      <c r="A9" s="7"/>
      <c r="B9" s="39" t="s">
        <v>17</v>
      </c>
      <c r="C9" s="39"/>
      <c r="D9" s="39"/>
      <c r="E9" s="40"/>
      <c r="F9" s="33" t="s">
        <v>48</v>
      </c>
      <c r="G9" s="34"/>
      <c r="H9" s="35"/>
      <c r="I9" s="30" t="s">
        <v>49</v>
      </c>
      <c r="J9" s="31"/>
      <c r="K9" s="32"/>
      <c r="L9" s="33" t="s">
        <v>50</v>
      </c>
      <c r="M9" s="34"/>
      <c r="N9" s="35"/>
      <c r="O9" s="36" t="s">
        <v>51</v>
      </c>
      <c r="P9" s="37"/>
      <c r="Q9" s="38"/>
      <c r="R9" s="33" t="s">
        <v>52</v>
      </c>
      <c r="S9" s="34"/>
      <c r="T9" s="35"/>
    </row>
    <row r="10" spans="1:20" x14ac:dyDescent="0.2">
      <c r="B10" s="51" t="s">
        <v>4</v>
      </c>
      <c r="C10" s="52"/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  <c r="O10" s="17" t="s">
        <v>8</v>
      </c>
      <c r="P10" s="18" t="s">
        <v>10</v>
      </c>
      <c r="Q10" s="12" t="s">
        <v>9</v>
      </c>
      <c r="R10" s="17" t="s">
        <v>8</v>
      </c>
      <c r="S10" s="18" t="s">
        <v>10</v>
      </c>
      <c r="T10" s="12" t="s">
        <v>9</v>
      </c>
    </row>
    <row r="11" spans="1:20" x14ac:dyDescent="0.2">
      <c r="B11" s="53" t="s">
        <v>40</v>
      </c>
      <c r="C11" s="54"/>
      <c r="D11" s="23">
        <v>20</v>
      </c>
      <c r="E11" s="10" t="s">
        <v>15</v>
      </c>
      <c r="F11" s="5">
        <v>4</v>
      </c>
      <c r="G11" s="24">
        <f t="shared" ref="G11:G12" si="0">IF($E11="Y", F11/SUM($F11,$I11,$L11,$O11,$R11), (1/F11)/SUM(1/$F11,1/$I11,1/$L11,1/$O11,1/$R11))</f>
        <v>0.21052631578947367</v>
      </c>
      <c r="H11" s="10">
        <f>G11*$D11</f>
        <v>4.2105263157894735</v>
      </c>
      <c r="I11" s="5">
        <v>3</v>
      </c>
      <c r="J11" s="24">
        <f t="shared" ref="J11:J12" si="1">IF($E11="Y", I11/SUM($F11,$I11,$L11,$O11,$R11), (1/I11)/SUM(1/$F11,1/$I11,1/$L11,1/$O11,1/$R11))</f>
        <v>0.15789473684210525</v>
      </c>
      <c r="K11" s="10">
        <f>J11*$D11</f>
        <v>3.1578947368421053</v>
      </c>
      <c r="L11" s="5">
        <v>3</v>
      </c>
      <c r="M11" s="24">
        <f t="shared" ref="M11:M12" si="2">IF($E11="Y", L11/SUM($F11,$I11,$L11,$O11,$R11), (1/L11)/SUM(1/$F11,1/$I11,1/$L11,1/$O11,1/$R11))</f>
        <v>0.15789473684210525</v>
      </c>
      <c r="N11" s="10">
        <f>M11*$D11</f>
        <v>3.1578947368421053</v>
      </c>
      <c r="O11" s="5">
        <v>5</v>
      </c>
      <c r="P11" s="24">
        <f t="shared" ref="P11:P12" si="3">IF($E11="Y", O11/SUM($F11,$I11,$L11,$O11,$R11), (1/O11)/SUM(1/$F11,1/$I11,1/$L11,1/$O11,1/$R11))</f>
        <v>0.26315789473684209</v>
      </c>
      <c r="Q11" s="10">
        <f>P11*$D11</f>
        <v>5.2631578947368416</v>
      </c>
      <c r="R11" s="5">
        <v>4</v>
      </c>
      <c r="S11" s="24">
        <f t="shared" ref="S11:S12" si="4">IF($E11="Y", R11/SUM($F11,$I11,$L11,$O11,$R11), (1/R11)/SUM(1/$F11,1/$I11,1/$L11,1/$O11,1/$R11))</f>
        <v>0.21052631578947367</v>
      </c>
      <c r="T11" s="10">
        <f>S11*$D11</f>
        <v>4.2105263157894735</v>
      </c>
    </row>
    <row r="12" spans="1:20" x14ac:dyDescent="0.2">
      <c r="B12" s="55" t="s">
        <v>41</v>
      </c>
      <c r="C12" s="56"/>
      <c r="D12" s="23">
        <v>15</v>
      </c>
      <c r="E12" s="10" t="s">
        <v>15</v>
      </c>
      <c r="F12" s="5">
        <v>5</v>
      </c>
      <c r="G12" s="24">
        <f t="shared" si="0"/>
        <v>0.23809523809523808</v>
      </c>
      <c r="H12" s="10">
        <f t="shared" ref="H12:H19" si="5">G12*$D12</f>
        <v>3.5714285714285712</v>
      </c>
      <c r="I12" s="5">
        <v>4</v>
      </c>
      <c r="J12" s="24">
        <f t="shared" si="1"/>
        <v>0.19047619047619047</v>
      </c>
      <c r="K12" s="10">
        <f t="shared" ref="K12:K19" si="6">J12*$D12</f>
        <v>2.8571428571428568</v>
      </c>
      <c r="L12" s="5">
        <v>4</v>
      </c>
      <c r="M12" s="24">
        <f t="shared" si="2"/>
        <v>0.19047619047619047</v>
      </c>
      <c r="N12" s="10">
        <f t="shared" ref="N12:N19" si="7">M12*$D12</f>
        <v>2.8571428571428568</v>
      </c>
      <c r="O12" s="5">
        <v>4</v>
      </c>
      <c r="P12" s="24">
        <f t="shared" si="3"/>
        <v>0.19047619047619047</v>
      </c>
      <c r="Q12" s="10">
        <f t="shared" ref="Q12:Q19" si="8">P12*$D12</f>
        <v>2.8571428571428568</v>
      </c>
      <c r="R12" s="5">
        <v>4</v>
      </c>
      <c r="S12" s="24">
        <f t="shared" si="4"/>
        <v>0.19047619047619047</v>
      </c>
      <c r="T12" s="10">
        <f t="shared" ref="T12:T19" si="9">S12*$D12</f>
        <v>2.8571428571428568</v>
      </c>
    </row>
    <row r="13" spans="1:20" x14ac:dyDescent="0.2">
      <c r="B13" s="55" t="s">
        <v>42</v>
      </c>
      <c r="C13" s="56"/>
      <c r="D13" s="23">
        <v>10</v>
      </c>
      <c r="E13" s="10" t="s">
        <v>15</v>
      </c>
      <c r="F13" s="5">
        <v>4</v>
      </c>
      <c r="G13" s="24">
        <f t="shared" ref="G13:G19" si="10">IF($E13="Y", F13/SUM($F13,$I13,$L13,$O13,$R13), (1/F13)/SUM(1/$F13,1/$I13,1/$L13,1/$O13,1/$R13))</f>
        <v>0.23529411764705882</v>
      </c>
      <c r="H13" s="10">
        <f t="shared" si="5"/>
        <v>2.3529411764705883</v>
      </c>
      <c r="I13" s="5">
        <v>3</v>
      </c>
      <c r="J13" s="24">
        <f t="shared" ref="J13:J19" si="11">IF($E13="Y", I13/SUM($F13,$I13,$L13,$O13,$R13), (1/I13)/SUM(1/$F13,1/$I13,1/$L13,1/$O13,1/$R13))</f>
        <v>0.17647058823529413</v>
      </c>
      <c r="K13" s="10">
        <f t="shared" si="6"/>
        <v>1.7647058823529413</v>
      </c>
      <c r="L13" s="5">
        <v>3</v>
      </c>
      <c r="M13" s="24">
        <f t="shared" ref="M13:M19" si="12">IF($E13="Y", L13/SUM($F13,$I13,$L13,$O13,$R13), (1/L13)/SUM(1/$F13,1/$I13,1/$L13,1/$O13,1/$R13))</f>
        <v>0.17647058823529413</v>
      </c>
      <c r="N13" s="10">
        <f t="shared" si="7"/>
        <v>1.7647058823529413</v>
      </c>
      <c r="O13" s="5">
        <v>4</v>
      </c>
      <c r="P13" s="24">
        <f t="shared" ref="P13:P19" si="13">IF($E13="Y", O13/SUM($F13,$I13,$L13,$O13,$R13), (1/O13)/SUM(1/$F13,1/$I13,1/$L13,1/$O13,1/$R13))</f>
        <v>0.23529411764705882</v>
      </c>
      <c r="Q13" s="10">
        <f t="shared" si="8"/>
        <v>2.3529411764705883</v>
      </c>
      <c r="R13" s="5">
        <v>3</v>
      </c>
      <c r="S13" s="24">
        <f t="shared" ref="S13:S19" si="14">IF($E13="Y", R13/SUM($F13,$I13,$L13,$O13,$R13), (1/R13)/SUM(1/$F13,1/$I13,1/$L13,1/$O13,1/$R13))</f>
        <v>0.17647058823529413</v>
      </c>
      <c r="T13" s="10">
        <f t="shared" si="9"/>
        <v>1.7647058823529413</v>
      </c>
    </row>
    <row r="14" spans="1:20" x14ac:dyDescent="0.2">
      <c r="B14" s="55" t="s">
        <v>43</v>
      </c>
      <c r="C14" s="56"/>
      <c r="D14" s="23">
        <v>10</v>
      </c>
      <c r="E14" s="10" t="s">
        <v>15</v>
      </c>
      <c r="F14" s="5">
        <v>5</v>
      </c>
      <c r="G14" s="24">
        <f t="shared" si="10"/>
        <v>0.22727272727272727</v>
      </c>
      <c r="H14" s="10">
        <f t="shared" si="5"/>
        <v>2.2727272727272725</v>
      </c>
      <c r="I14" s="5">
        <v>5</v>
      </c>
      <c r="J14" s="24">
        <f t="shared" si="11"/>
        <v>0.22727272727272727</v>
      </c>
      <c r="K14" s="10">
        <f t="shared" si="6"/>
        <v>2.2727272727272725</v>
      </c>
      <c r="L14" s="5">
        <v>4</v>
      </c>
      <c r="M14" s="24">
        <f t="shared" si="12"/>
        <v>0.18181818181818182</v>
      </c>
      <c r="N14" s="10">
        <f t="shared" si="7"/>
        <v>1.8181818181818183</v>
      </c>
      <c r="O14" s="5">
        <v>4</v>
      </c>
      <c r="P14" s="24">
        <f t="shared" si="13"/>
        <v>0.18181818181818182</v>
      </c>
      <c r="Q14" s="10">
        <f t="shared" si="8"/>
        <v>1.8181818181818183</v>
      </c>
      <c r="R14" s="5">
        <v>4</v>
      </c>
      <c r="S14" s="24">
        <f t="shared" si="14"/>
        <v>0.18181818181818182</v>
      </c>
      <c r="T14" s="10">
        <f t="shared" si="9"/>
        <v>1.8181818181818183</v>
      </c>
    </row>
    <row r="15" spans="1:20" x14ac:dyDescent="0.2">
      <c r="B15" s="55" t="s">
        <v>39</v>
      </c>
      <c r="C15" s="56"/>
      <c r="D15" s="23">
        <v>15</v>
      </c>
      <c r="E15" s="10" t="s">
        <v>15</v>
      </c>
      <c r="F15" s="5">
        <v>4</v>
      </c>
      <c r="G15" s="24">
        <f t="shared" si="10"/>
        <v>0.21052631578947367</v>
      </c>
      <c r="H15" s="10">
        <f t="shared" si="5"/>
        <v>3.1578947368421053</v>
      </c>
      <c r="I15" s="5">
        <v>4</v>
      </c>
      <c r="J15" s="24">
        <f t="shared" si="11"/>
        <v>0.21052631578947367</v>
      </c>
      <c r="K15" s="10">
        <f t="shared" si="6"/>
        <v>3.1578947368421053</v>
      </c>
      <c r="L15" s="5">
        <v>5</v>
      </c>
      <c r="M15" s="24">
        <f t="shared" si="12"/>
        <v>0.26315789473684209</v>
      </c>
      <c r="N15" s="10">
        <f t="shared" si="7"/>
        <v>3.9473684210526314</v>
      </c>
      <c r="O15" s="5">
        <v>3</v>
      </c>
      <c r="P15" s="24">
        <f t="shared" si="13"/>
        <v>0.15789473684210525</v>
      </c>
      <c r="Q15" s="10">
        <f t="shared" si="8"/>
        <v>2.3684210526315788</v>
      </c>
      <c r="R15" s="5">
        <v>3</v>
      </c>
      <c r="S15" s="24">
        <f t="shared" si="14"/>
        <v>0.15789473684210525</v>
      </c>
      <c r="T15" s="10">
        <f t="shared" si="9"/>
        <v>2.3684210526315788</v>
      </c>
    </row>
    <row r="16" spans="1:20" x14ac:dyDescent="0.2">
      <c r="B16" s="55" t="s">
        <v>44</v>
      </c>
      <c r="C16" s="56"/>
      <c r="D16" s="23">
        <v>10</v>
      </c>
      <c r="E16" s="10" t="s">
        <v>15</v>
      </c>
      <c r="F16" s="5">
        <v>3</v>
      </c>
      <c r="G16" s="24">
        <f t="shared" si="10"/>
        <v>0.17647058823529413</v>
      </c>
      <c r="H16" s="10">
        <f t="shared" si="5"/>
        <v>1.7647058823529413</v>
      </c>
      <c r="I16" s="5">
        <v>5</v>
      </c>
      <c r="J16" s="24">
        <f t="shared" si="11"/>
        <v>0.29411764705882354</v>
      </c>
      <c r="K16" s="10">
        <f t="shared" si="6"/>
        <v>2.9411764705882355</v>
      </c>
      <c r="L16" s="5">
        <v>3</v>
      </c>
      <c r="M16" s="24">
        <f t="shared" si="12"/>
        <v>0.17647058823529413</v>
      </c>
      <c r="N16" s="10">
        <f t="shared" si="7"/>
        <v>1.7647058823529413</v>
      </c>
      <c r="O16" s="5">
        <v>3</v>
      </c>
      <c r="P16" s="24">
        <f t="shared" si="13"/>
        <v>0.17647058823529413</v>
      </c>
      <c r="Q16" s="10">
        <f t="shared" si="8"/>
        <v>1.7647058823529413</v>
      </c>
      <c r="R16" s="5">
        <v>3</v>
      </c>
      <c r="S16" s="24">
        <f t="shared" si="14"/>
        <v>0.17647058823529413</v>
      </c>
      <c r="T16" s="10">
        <f t="shared" si="9"/>
        <v>1.7647058823529413</v>
      </c>
    </row>
    <row r="17" spans="2:20" x14ac:dyDescent="0.2">
      <c r="B17" s="55" t="s">
        <v>45</v>
      </c>
      <c r="C17" s="56"/>
      <c r="D17" s="23">
        <v>10</v>
      </c>
      <c r="E17" s="10" t="s">
        <v>15</v>
      </c>
      <c r="F17" s="5">
        <v>4</v>
      </c>
      <c r="G17" s="24">
        <f t="shared" si="10"/>
        <v>0.19047619047619047</v>
      </c>
      <c r="H17" s="10">
        <f t="shared" si="5"/>
        <v>1.9047619047619047</v>
      </c>
      <c r="I17" s="5">
        <v>4</v>
      </c>
      <c r="J17" s="24">
        <f t="shared" si="11"/>
        <v>0.19047619047619047</v>
      </c>
      <c r="K17" s="10">
        <f t="shared" si="6"/>
        <v>1.9047619047619047</v>
      </c>
      <c r="L17" s="5">
        <v>3</v>
      </c>
      <c r="M17" s="24">
        <f t="shared" si="12"/>
        <v>0.14285714285714285</v>
      </c>
      <c r="N17" s="10">
        <f t="shared" si="7"/>
        <v>1.4285714285714284</v>
      </c>
      <c r="O17" s="5">
        <v>5</v>
      </c>
      <c r="P17" s="24">
        <f t="shared" si="13"/>
        <v>0.23809523809523808</v>
      </c>
      <c r="Q17" s="10">
        <f t="shared" si="8"/>
        <v>2.3809523809523809</v>
      </c>
      <c r="R17" s="5">
        <v>5</v>
      </c>
      <c r="S17" s="24">
        <f t="shared" si="14"/>
        <v>0.23809523809523808</v>
      </c>
      <c r="T17" s="10">
        <f t="shared" si="9"/>
        <v>2.3809523809523809</v>
      </c>
    </row>
    <row r="18" spans="2:20" x14ac:dyDescent="0.2">
      <c r="B18" s="55" t="s">
        <v>46</v>
      </c>
      <c r="C18" s="56"/>
      <c r="D18" s="23">
        <v>5</v>
      </c>
      <c r="E18" s="10" t="s">
        <v>15</v>
      </c>
      <c r="F18" s="5">
        <v>3</v>
      </c>
      <c r="G18" s="24">
        <f t="shared" si="10"/>
        <v>0.17647058823529413</v>
      </c>
      <c r="H18" s="10">
        <f t="shared" si="5"/>
        <v>0.88235294117647067</v>
      </c>
      <c r="I18" s="5">
        <v>4</v>
      </c>
      <c r="J18" s="24">
        <f t="shared" si="11"/>
        <v>0.23529411764705882</v>
      </c>
      <c r="K18" s="10">
        <f t="shared" si="6"/>
        <v>1.1764705882352942</v>
      </c>
      <c r="L18" s="5">
        <v>1</v>
      </c>
      <c r="M18" s="24">
        <f t="shared" si="12"/>
        <v>5.8823529411764705E-2</v>
      </c>
      <c r="N18" s="10">
        <f t="shared" si="7"/>
        <v>0.29411764705882354</v>
      </c>
      <c r="O18" s="5">
        <v>4</v>
      </c>
      <c r="P18" s="24">
        <f t="shared" si="13"/>
        <v>0.23529411764705882</v>
      </c>
      <c r="Q18" s="10">
        <f t="shared" si="8"/>
        <v>1.1764705882352942</v>
      </c>
      <c r="R18" s="5">
        <v>5</v>
      </c>
      <c r="S18" s="24">
        <f t="shared" si="14"/>
        <v>0.29411764705882354</v>
      </c>
      <c r="T18" s="10">
        <f t="shared" si="9"/>
        <v>1.4705882352941178</v>
      </c>
    </row>
    <row r="19" spans="2:20" ht="16" thickBot="1" x14ac:dyDescent="0.25">
      <c r="B19" s="28" t="s">
        <v>47</v>
      </c>
      <c r="C19" s="29"/>
      <c r="D19" s="23">
        <v>5</v>
      </c>
      <c r="E19" s="10" t="s">
        <v>15</v>
      </c>
      <c r="F19" s="6">
        <v>4</v>
      </c>
      <c r="G19" s="25">
        <f t="shared" si="10"/>
        <v>0.22222222222222221</v>
      </c>
      <c r="H19" s="10">
        <f t="shared" si="5"/>
        <v>1.1111111111111112</v>
      </c>
      <c r="I19" s="6">
        <v>4</v>
      </c>
      <c r="J19" s="25">
        <f t="shared" si="11"/>
        <v>0.22222222222222221</v>
      </c>
      <c r="K19" s="10">
        <f t="shared" si="6"/>
        <v>1.1111111111111112</v>
      </c>
      <c r="L19" s="6">
        <v>4</v>
      </c>
      <c r="M19" s="25">
        <f t="shared" si="12"/>
        <v>0.22222222222222221</v>
      </c>
      <c r="N19" s="10">
        <f t="shared" si="7"/>
        <v>1.1111111111111112</v>
      </c>
      <c r="O19" s="6">
        <v>3</v>
      </c>
      <c r="P19" s="25">
        <f t="shared" si="13"/>
        <v>0.16666666666666666</v>
      </c>
      <c r="Q19" s="10">
        <f t="shared" si="8"/>
        <v>0.83333333333333326</v>
      </c>
      <c r="R19" s="6">
        <v>3</v>
      </c>
      <c r="S19" s="25">
        <f t="shared" si="14"/>
        <v>0.16666666666666666</v>
      </c>
      <c r="T19" s="10">
        <f t="shared" si="9"/>
        <v>0.83333333333333326</v>
      </c>
    </row>
    <row r="20" spans="2:20" ht="17" thickTop="1" thickBot="1" x14ac:dyDescent="0.25">
      <c r="B20" s="41" t="s">
        <v>12</v>
      </c>
      <c r="C20" s="42"/>
      <c r="D20" s="42"/>
      <c r="E20" s="43"/>
      <c r="F20" s="13"/>
      <c r="G20" s="14"/>
      <c r="H20" s="27">
        <f>SUM(H11:H19)</f>
        <v>21.228449912660441</v>
      </c>
      <c r="I20" s="13"/>
      <c r="J20" s="14"/>
      <c r="K20" s="27">
        <f>SUM(K11:K19)</f>
        <v>20.343885560603827</v>
      </c>
      <c r="L20" s="13"/>
      <c r="M20" s="14"/>
      <c r="N20" s="27">
        <f>SUM(N11:N19)</f>
        <v>18.143799784666658</v>
      </c>
      <c r="O20" s="13"/>
      <c r="P20" s="14"/>
      <c r="Q20" s="27">
        <f>SUM(Q11:Q19)</f>
        <v>20.81530698403763</v>
      </c>
      <c r="R20" s="13"/>
      <c r="S20" s="14"/>
      <c r="T20" s="27">
        <f>SUM(T11:T19)</f>
        <v>19.468557758031441</v>
      </c>
    </row>
  </sheetData>
  <mergeCells count="22">
    <mergeCell ref="B20:E20"/>
    <mergeCell ref="B1:C1"/>
    <mergeCell ref="B2:C2"/>
    <mergeCell ref="B3:C3"/>
    <mergeCell ref="B4:C4"/>
    <mergeCell ref="A5:B5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I9:K9"/>
    <mergeCell ref="L9:N9"/>
    <mergeCell ref="O9:Q9"/>
    <mergeCell ref="R9:T9"/>
    <mergeCell ref="B9:E9"/>
    <mergeCell ref="F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baseColWidth="10" defaultColWidth="8.83203125" defaultRowHeight="15" x14ac:dyDescent="0.2"/>
  <sheetData>
    <row r="1" spans="1:11" x14ac:dyDescent="0.2">
      <c r="A1" s="20" t="s">
        <v>18</v>
      </c>
    </row>
    <row r="2" spans="1:11" x14ac:dyDescent="0.2">
      <c r="A2" t="s">
        <v>19</v>
      </c>
    </row>
    <row r="4" spans="1:11" x14ac:dyDescent="0.2">
      <c r="A4" t="s">
        <v>20</v>
      </c>
    </row>
    <row r="5" spans="1:11" x14ac:dyDescent="0.2">
      <c r="B5" t="s">
        <v>21</v>
      </c>
    </row>
    <row r="6" spans="1:11" x14ac:dyDescent="0.2">
      <c r="B6" t="s">
        <v>24</v>
      </c>
    </row>
    <row r="7" spans="1:11" x14ac:dyDescent="0.2">
      <c r="A7" t="s">
        <v>22</v>
      </c>
    </row>
    <row r="8" spans="1:11" x14ac:dyDescent="0.2">
      <c r="B8" t="s">
        <v>23</v>
      </c>
    </row>
    <row r="9" spans="1:11" x14ac:dyDescent="0.2">
      <c r="A9" t="s">
        <v>25</v>
      </c>
    </row>
    <row r="11" spans="1:11" x14ac:dyDescent="0.2">
      <c r="A11" s="21" t="s">
        <v>26</v>
      </c>
    </row>
    <row r="12" spans="1:11" x14ac:dyDescent="0.2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6" thickBot="1" x14ac:dyDescent="0.25"/>
    <row r="16" spans="1:11" ht="16" thickBot="1" x14ac:dyDescent="0.25">
      <c r="B16" s="57" t="s">
        <v>17</v>
      </c>
      <c r="C16" s="58"/>
      <c r="D16" s="58"/>
      <c r="E16" s="59"/>
      <c r="F16" s="60" t="s">
        <v>11</v>
      </c>
      <c r="G16" s="61"/>
      <c r="H16" s="62"/>
      <c r="I16" s="30" t="s">
        <v>13</v>
      </c>
      <c r="J16" s="31"/>
      <c r="K16" s="32"/>
    </row>
    <row r="17" spans="2:11" x14ac:dyDescent="0.2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6" thickBot="1" x14ac:dyDescent="0.25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7" thickTop="1" thickBot="1" x14ac:dyDescent="0.25">
      <c r="B20" s="41" t="s">
        <v>12</v>
      </c>
      <c r="C20" s="42"/>
      <c r="D20" s="42"/>
      <c r="E20" s="43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Noah Touchton</cp:lastModifiedBy>
  <dcterms:created xsi:type="dcterms:W3CDTF">2025-09-16T03:22:33Z</dcterms:created>
  <dcterms:modified xsi:type="dcterms:W3CDTF">2025-10-02T20:37:55Z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