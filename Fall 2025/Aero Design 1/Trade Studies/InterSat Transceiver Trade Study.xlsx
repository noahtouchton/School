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1_{4085FE96-4BE8-8E4D-85C5-7A1D00C55937}" xr6:coauthVersionLast="47" xr6:coauthVersionMax="47" xr10:uidLastSave="{00000000-0000-0000-0000-000000000000}"/>
  <bookViews>
    <workbookView xWindow="4420" yWindow="9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 s="1"/>
  <c r="J14" i="1"/>
  <c r="K14" i="1" s="1"/>
  <c r="G14" i="1"/>
  <c r="H14" i="1" s="1"/>
  <c r="M12" i="1"/>
  <c r="N12" i="1" s="1"/>
  <c r="M13" i="1"/>
  <c r="N13" i="1" s="1"/>
  <c r="M11" i="1"/>
  <c r="N11" i="1" s="1"/>
  <c r="J12" i="1"/>
  <c r="K12" i="1" s="1"/>
  <c r="J13" i="1"/>
  <c r="K13" i="1" s="1"/>
  <c r="J11" i="1"/>
  <c r="K11" i="1" s="1"/>
  <c r="G12" i="1"/>
  <c r="H12" i="1" s="1"/>
  <c r="G13" i="1"/>
  <c r="H13" i="1" s="1"/>
  <c r="G11" i="1"/>
  <c r="H11" i="1" s="1"/>
  <c r="J19" i="2"/>
  <c r="K19" i="2" s="1"/>
  <c r="G19" i="2"/>
  <c r="G18" i="2"/>
  <c r="J18" i="2"/>
  <c r="K18" i="2" s="1"/>
  <c r="H18" i="2"/>
  <c r="H19" i="2"/>
  <c r="H20" i="2" l="1"/>
  <c r="K20" i="2"/>
  <c r="N15" i="1"/>
  <c r="K15" i="1"/>
  <c r="H15" i="1" l="1"/>
</calcChain>
</file>

<file path=xl/sharedStrings.xml><?xml version="1.0" encoding="utf-8"?>
<sst xmlns="http://schemas.openxmlformats.org/spreadsheetml/2006/main" count="72" uniqueCount="49">
  <si>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</si>
  <si>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</si>
  <si>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</si>
  <si>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</si>
  <si>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</si>
  <si>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</si>
  <si>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</si>
  <si>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</si>
  <si>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</si>
  <si>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</si>
  <si>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</si>
  <si>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</si>
  <si>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</si>
  <si>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</si>
  <si>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</si>
  <si>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</si>
  <si>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</si>
  <si>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</si>
  <si>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</si>
  <si>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</si>
  <si>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</si>
  <si>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</si>
  <si>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</si>
  <si>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</si>
  <si>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</si>
  <si>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</si>
  <si>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</si>
  <si>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</si>
  <si>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</si>
  <si>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</si>
  <si>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</si>
  <si>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</si>
  <si>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</si>
  <si>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</si>
  <si>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</si>
  <si>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</si>
  <si>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Noah Touchton</t>
  </si>
  <si>
    <t>Communications</t>
  </si>
  <si>
    <t>Data Rate</t>
  </si>
  <si>
    <t>W</t>
  </si>
  <si>
    <t>g</t>
  </si>
  <si>
    <t>dBm</t>
  </si>
  <si>
    <t>RF</t>
  </si>
  <si>
    <t>Power</t>
  </si>
  <si>
    <t>kbps</t>
  </si>
  <si>
    <t>Enduro Sat UHF 2</t>
  </si>
  <si>
    <t>InterSat Transceiver</t>
  </si>
  <si>
    <t>NANO Com Ax100</t>
  </si>
  <si>
    <t>TRX-U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</si>
</sst>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6" fontId="0" fillId="0" borderId="29" xfId="0" applyNumberForma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5"/>
  <sheetViews>
    <sheetView tabSelected="1" workbookViewId="0">
      <selection activeCell="L20" sqref="L20"/>
    </sheetView>
  </sheetViews>
  <sheetFormatPr baseColWidth="10" defaultColWidth="8.83203125" defaultRowHeight="15" x14ac:dyDescent="0.2"/>
  <cols>
    <col min="1" max="1" width="9.1640625" customWidth="1"/>
    <col min="2" max="2" width="15.5" customWidth="1"/>
    <col min="3" max="3" width="14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6" t="s">
        <v>46</v>
      </c>
      <c r="C1" s="47"/>
    </row>
    <row r="2" spans="1:14" x14ac:dyDescent="0.2">
      <c r="A2" s="2" t="s">
        <v>1</v>
      </c>
      <c r="B2" s="48" t="s">
        <v>36</v>
      </c>
      <c r="C2" s="49"/>
    </row>
    <row r="3" spans="1:14" x14ac:dyDescent="0.2">
      <c r="A3" s="2" t="s">
        <v>2</v>
      </c>
      <c r="B3" s="48" t="s">
        <v>37</v>
      </c>
      <c r="C3" s="49"/>
    </row>
    <row r="4" spans="1:14" x14ac:dyDescent="0.2">
      <c r="A4" s="3" t="s">
        <v>3</v>
      </c>
      <c r="B4" s="50">
        <v>45916</v>
      </c>
      <c r="C4" s="51"/>
    </row>
    <row r="5" spans="1:14" ht="16" thickBot="1" x14ac:dyDescent="0.25">
      <c r="A5" s="52" t="s">
        <v>5</v>
      </c>
      <c r="B5" s="38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8" t="s">
        <v>17</v>
      </c>
      <c r="C9" s="38"/>
      <c r="D9" s="38"/>
      <c r="E9" s="39"/>
      <c r="F9" s="35" t="s">
        <v>45</v>
      </c>
      <c r="G9" s="36"/>
      <c r="H9" s="37"/>
      <c r="I9" s="32" t="s">
        <v>47</v>
      </c>
      <c r="J9" s="33"/>
      <c r="K9" s="34"/>
      <c r="L9" s="35" t="s">
        <v>48</v>
      </c>
      <c r="M9" s="36"/>
      <c r="N9" s="37"/>
    </row>
    <row r="10" spans="1:14" x14ac:dyDescent="0.2">
      <c r="B10" s="8" t="s">
        <v>4</v>
      </c>
      <c r="C10" s="28" t="s">
        <v>7</v>
      </c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29" t="s">
        <v>38</v>
      </c>
      <c r="C11" s="30" t="s">
        <v>44</v>
      </c>
      <c r="D11" s="22">
        <v>30</v>
      </c>
      <c r="E11" s="10" t="s">
        <v>15</v>
      </c>
      <c r="F11" s="5">
        <v>19.2</v>
      </c>
      <c r="G11" s="24">
        <f>IF($E11="Y", F11/SUM($F11,$I11,$L11), (1/F11)/SUM(1/$F11,1/$I11,1/$L11))</f>
        <v>0.25</v>
      </c>
      <c r="H11" s="10">
        <f>G11*D11</f>
        <v>7.5</v>
      </c>
      <c r="I11" s="5">
        <v>38.4</v>
      </c>
      <c r="J11" s="24">
        <f>IF($E11="Y", I11/SUM($F11,$I11,$L11), (1/I11)/SUM(1/$F11,1/$I11,1/$L11))</f>
        <v>0.5</v>
      </c>
      <c r="K11" s="10">
        <f>J11*D11</f>
        <v>15</v>
      </c>
      <c r="L11" s="5">
        <v>19.2</v>
      </c>
      <c r="M11" s="24">
        <f>IF($E11="Y", L11/SUM($F11,$I11,$L11), (1/L11)/SUM(1/$F11,1/$I11,1/$L11))</f>
        <v>0.25</v>
      </c>
      <c r="N11" s="10">
        <f>M11*D11</f>
        <v>7.5</v>
      </c>
    </row>
    <row r="12" spans="1:14" x14ac:dyDescent="0.2">
      <c r="B12" s="31" t="s">
        <v>42</v>
      </c>
      <c r="C12" s="23" t="s">
        <v>41</v>
      </c>
      <c r="D12" s="24">
        <v>30</v>
      </c>
      <c r="E12" s="10" t="s">
        <v>15</v>
      </c>
      <c r="F12" s="5">
        <v>33</v>
      </c>
      <c r="G12" s="24">
        <f t="shared" ref="G12:G14" si="0">IF($E12="Y", F12/SUM($F12,$I12,$L12), (1/F12)/SUM(1/$F12,1/$I12,1/$L12))</f>
        <v>0.33</v>
      </c>
      <c r="H12" s="10">
        <f t="shared" ref="H12:H14" si="1">G12*D12</f>
        <v>9.9</v>
      </c>
      <c r="I12" s="5">
        <v>30</v>
      </c>
      <c r="J12" s="24">
        <f t="shared" ref="J12:J14" si="2">IF($E12="Y", I12/SUM($F12,$I12,$L12), (1/I12)/SUM(1/$F12,1/$I12,1/$L12))</f>
        <v>0.3</v>
      </c>
      <c r="K12" s="10">
        <f t="shared" ref="K12:K14" si="3">J12*D12</f>
        <v>9</v>
      </c>
      <c r="L12" s="5">
        <v>37</v>
      </c>
      <c r="M12" s="24">
        <f t="shared" ref="M12:M14" si="4">IF($E12="Y", L12/SUM($F12,$I12,$L12), (1/L12)/SUM(1/$F12,1/$I12,1/$L12))</f>
        <v>0.37</v>
      </c>
      <c r="N12" s="10">
        <f t="shared" ref="N12:N14" si="5">M12*D12</f>
        <v>11.1</v>
      </c>
    </row>
    <row r="13" spans="1:14" x14ac:dyDescent="0.2">
      <c r="B13" s="31" t="s">
        <v>43</v>
      </c>
      <c r="C13" s="57" t="s">
        <v>39</v>
      </c>
      <c r="D13" s="24">
        <v>25</v>
      </c>
      <c r="E13" s="10" t="s">
        <v>16</v>
      </c>
      <c r="F13" s="5">
        <v>3</v>
      </c>
      <c r="G13" s="24">
        <f t="shared" si="0"/>
        <v>0.38461538461538458</v>
      </c>
      <c r="H13" s="10">
        <f t="shared" si="1"/>
        <v>9.615384615384615</v>
      </c>
      <c r="I13" s="5">
        <v>3</v>
      </c>
      <c r="J13" s="24">
        <f t="shared" si="2"/>
        <v>0.38461538461538458</v>
      </c>
      <c r="K13" s="10">
        <f t="shared" si="3"/>
        <v>9.615384615384615</v>
      </c>
      <c r="L13" s="5">
        <v>5</v>
      </c>
      <c r="M13" s="24">
        <f t="shared" si="4"/>
        <v>0.23076923076923078</v>
      </c>
      <c r="N13" s="10">
        <f t="shared" si="5"/>
        <v>5.7692307692307692</v>
      </c>
    </row>
    <row r="14" spans="1:14" ht="16" thickBot="1" x14ac:dyDescent="0.25">
      <c r="B14" s="31" t="s">
        <v>30</v>
      </c>
      <c r="C14" s="23" t="s">
        <v>40</v>
      </c>
      <c r="D14" s="24">
        <v>15</v>
      </c>
      <c r="E14" s="10" t="s">
        <v>16</v>
      </c>
      <c r="F14" s="5">
        <v>95</v>
      </c>
      <c r="G14" s="24">
        <f t="shared" si="0"/>
        <v>0.37086092715231789</v>
      </c>
      <c r="H14" s="10">
        <f t="shared" si="1"/>
        <v>5.5629139072847682</v>
      </c>
      <c r="I14" s="5">
        <v>105</v>
      </c>
      <c r="J14" s="24">
        <f t="shared" si="2"/>
        <v>0.33554083885209718</v>
      </c>
      <c r="K14" s="10">
        <f t="shared" si="3"/>
        <v>5.0331125827814578</v>
      </c>
      <c r="L14" s="5">
        <v>120</v>
      </c>
      <c r="M14" s="24">
        <f t="shared" si="4"/>
        <v>0.29359823399558499</v>
      </c>
      <c r="N14" s="10">
        <f t="shared" si="5"/>
        <v>4.4039735099337749</v>
      </c>
    </row>
    <row r="15" spans="1:14" ht="17" thickTop="1" thickBot="1" x14ac:dyDescent="0.25">
      <c r="B15" s="43" t="s">
        <v>12</v>
      </c>
      <c r="C15" s="44"/>
      <c r="D15" s="44"/>
      <c r="E15" s="45"/>
      <c r="F15" s="13"/>
      <c r="G15" s="14"/>
      <c r="H15" s="27">
        <f>SUM(H11:H14)</f>
        <v>32.578298522669378</v>
      </c>
      <c r="I15" s="13"/>
      <c r="J15" s="14"/>
      <c r="K15" s="27">
        <f>SUM(K11:K14)</f>
        <v>38.648497198166069</v>
      </c>
      <c r="L15" s="13"/>
      <c r="M15" s="14"/>
      <c r="N15" s="27">
        <f>SUM(N11:N14)</f>
        <v>28.773204279164545</v>
      </c>
    </row>
  </sheetData>
  <mergeCells count="10">
    <mergeCell ref="B1:C1"/>
    <mergeCell ref="B2:C2"/>
    <mergeCell ref="B3:C3"/>
    <mergeCell ref="B4:C4"/>
    <mergeCell ref="A5:B5"/>
    <mergeCell ref="I9:K9"/>
    <mergeCell ref="L9:N9"/>
    <mergeCell ref="B9:E9"/>
    <mergeCell ref="F9:H9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3" t="s">
        <v>17</v>
      </c>
      <c r="C16" s="54"/>
      <c r="D16" s="54"/>
      <c r="E16" s="55"/>
      <c r="F16" s="40" t="s">
        <v>11</v>
      </c>
      <c r="G16" s="41"/>
      <c r="H16" s="42"/>
      <c r="I16" s="56" t="s">
        <v>13</v>
      </c>
      <c r="J16" s="33"/>
      <c r="K16" s="34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3" t="s">
        <v>12</v>
      </c>
      <c r="C20" s="44"/>
      <c r="D20" s="44"/>
      <c r="E20" s="45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2025-09-16T03:22:33Z</dcterms:created>
  <dcterms:modified xsi:type="dcterms:W3CDTF">2025-10-30T17:58:44Z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